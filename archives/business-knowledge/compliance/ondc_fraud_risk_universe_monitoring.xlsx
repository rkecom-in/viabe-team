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Projects\2022-2023\7. Project ONDC\Working\221222\"/>
    </mc:Choice>
  </mc:AlternateContent>
  <xr:revisionPtr revIDLastSave="0" documentId="13_ncr:1_{5342A028-6626-4DFD-A875-674502EF3F7B}" xr6:coauthVersionLast="47" xr6:coauthVersionMax="47" xr10:uidLastSave="{00000000-0000-0000-0000-000000000000}"/>
  <bookViews>
    <workbookView xWindow="-120" yWindow="-120" windowWidth="20730" windowHeight="11160" tabRatio="944" firstSheet="1" activeTab="1" xr2:uid="{D433347B-9E99-4279-982E-18552F2CC34D}"/>
  </bookViews>
  <sheets>
    <sheet name="Fraud Definition" sheetId="5" state="hidden" r:id="rId1"/>
    <sheet name="Index" sheetId="16" r:id="rId2"/>
    <sheet name="Process wise split" sheetId="8" state="hidden" r:id="rId3"/>
    <sheet name="Fraud Risks Universe" sheetId="4" r:id="rId4"/>
    <sheet name="Tech" sheetId="7" state="hidden" r:id="rId5"/>
    <sheet name="1. NP Due Diligence" sheetId="10" r:id="rId6"/>
    <sheet name="2. Periodic Audit Checklist" sheetId="13" r:id="rId7"/>
    <sheet name="3. Data Analytics Routine" sheetId="14" r:id="rId8"/>
    <sheet name="A. Information Matrix" sheetId="12" r:id="rId9"/>
    <sheet name="B. Additional obligations" sheetId="15" r:id="rId10"/>
    <sheet name="Logistics and Returns" sheetId="9" state="hidden" r:id="rId11"/>
    <sheet name="API_points" sheetId="6" state="hidden" r:id="rId12"/>
  </sheets>
  <definedNames>
    <definedName name="_xlnm._FilterDatabase" localSheetId="9" hidden="1">'B. Additional obligations'!$A$4:$J$12</definedName>
    <definedName name="_xlnm._FilterDatabase" localSheetId="3" hidden="1">'Fraud Risks Universe'!$A$4:$R$4</definedName>
    <definedName name="_xlnm.Print_Area" localSheetId="9">'B. Additional obligations'!$A$1:$J$12</definedName>
    <definedName name="_xlnm.Print_Area" localSheetId="3">'Fraud Risks Universe'!$A$1:$Q$83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71" i="4" l="1"/>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A6" i="4"/>
  <c r="B30" i="14"/>
  <c r="B29" i="14"/>
  <c r="B28" i="14"/>
  <c r="B27" i="14"/>
  <c r="B26" i="14"/>
  <c r="B25" i="14"/>
  <c r="B24" i="14"/>
  <c r="B23" i="14"/>
  <c r="B22" i="14"/>
  <c r="B21" i="14"/>
  <c r="B20" i="14"/>
  <c r="B19" i="14"/>
  <c r="B18" i="14"/>
  <c r="B17" i="14"/>
  <c r="B16" i="14"/>
  <c r="B15" i="14"/>
  <c r="B14" i="14"/>
  <c r="B13" i="14"/>
  <c r="B12" i="14"/>
  <c r="B11" i="14"/>
  <c r="B10" i="14"/>
  <c r="B9" i="14"/>
  <c r="B8" i="14"/>
  <c r="B7" i="14"/>
  <c r="B6" i="14" l="1"/>
  <c r="E11" i="8" l="1"/>
  <c r="E9" i="8"/>
  <c r="E8" i="8"/>
  <c r="E7" i="8"/>
  <c r="E6" i="8"/>
  <c r="E5" i="8"/>
  <c r="E4" i="8"/>
  <c r="E3" i="8"/>
  <c r="D12" i="8"/>
  <c r="C12" i="8"/>
  <c r="A5" i="4"/>
  <c r="E12" i="8" l="1"/>
  <c r="B36" i="10" l="1"/>
  <c r="B35" i="10"/>
  <c r="B34" i="10"/>
  <c r="B33" i="10"/>
  <c r="B32" i="10"/>
  <c r="B31" i="10"/>
  <c r="B30" i="10"/>
  <c r="B29" i="10"/>
  <c r="B27" i="10"/>
  <c r="B26" i="10"/>
  <c r="B25" i="10"/>
  <c r="B24" i="10"/>
  <c r="B21" i="10"/>
  <c r="B20" i="10"/>
  <c r="B19" i="10"/>
  <c r="B18" i="10"/>
  <c r="B17" i="10"/>
  <c r="B16" i="10"/>
  <c r="B15" i="10"/>
  <c r="B14" i="10"/>
  <c r="B13" i="10"/>
  <c r="B11" i="10"/>
  <c r="B10" i="10"/>
  <c r="B9" i="10"/>
  <c r="B8" i="10"/>
</calcChain>
</file>

<file path=xl/sharedStrings.xml><?xml version="1.0" encoding="utf-8"?>
<sst xmlns="http://schemas.openxmlformats.org/spreadsheetml/2006/main" count="2219" uniqueCount="609">
  <si>
    <t>Strictly Confidential and Private</t>
  </si>
  <si>
    <t>Network Participant category</t>
  </si>
  <si>
    <t>Process</t>
  </si>
  <si>
    <t>Fraud Scenario</t>
  </si>
  <si>
    <t>Fraud prevention methodology to be undertaken by</t>
  </si>
  <si>
    <t>Order Management</t>
  </si>
  <si>
    <t>ONDC</t>
  </si>
  <si>
    <t>Yes</t>
  </si>
  <si>
    <t>Gateway</t>
  </si>
  <si>
    <t>-</t>
  </si>
  <si>
    <t>NPs providing services in a role/domain/ category different than the role/domain/category under which NP was onboarded for transacting over the ONDC network.</t>
  </si>
  <si>
    <t>Catalogue management</t>
  </si>
  <si>
    <t>Examples of NP's onboarded/under integration stage</t>
  </si>
  <si>
    <t>Inventory Management</t>
  </si>
  <si>
    <t>Invoicing</t>
  </si>
  <si>
    <t>eSamudaay, Gofrugal/Petpooja</t>
  </si>
  <si>
    <t>Companies Act 2013</t>
  </si>
  <si>
    <t>Contract Act 1872</t>
  </si>
  <si>
    <t>Indian Penal Code</t>
  </si>
  <si>
    <t>Indicative WIP definition of Fraud</t>
  </si>
  <si>
    <t xml:space="preserve">Knowing misrepresentation of the truth or concealment of material fact to Induce another to act in their detriment </t>
  </si>
  <si>
    <t>Defintion and its different facets:</t>
  </si>
  <si>
    <t>Dictionary</t>
  </si>
  <si>
    <t>#</t>
  </si>
  <si>
    <t>Active concealment</t>
  </si>
  <si>
    <t xml:space="preserve">Promise without intention to perform </t>
  </si>
  <si>
    <t xml:space="preserve">Suggestion of an untrue fact
</t>
  </si>
  <si>
    <t>Act of deception</t>
  </si>
  <si>
    <t>Act / omission / concealment of fact / Abuse of power 
Intention to Deceive / gain undue advantage / Injure interest (stakeholder’s + Company’s) whether or not there is any wrongful gain/loss</t>
  </si>
  <si>
    <t>Source</t>
  </si>
  <si>
    <t>Version as at</t>
  </si>
  <si>
    <t>Defines other criminal acts (similar to fraud) which shall include:    
 a. Cheating 
b. Criminal breach of trust 
c. Forgery etc.</t>
  </si>
  <si>
    <t>Fraud Scenario committed by</t>
  </si>
  <si>
    <t>Note</t>
  </si>
  <si>
    <t>Preventive Methodology for Fraud Prevention monitoring shall include methods to minimize the occurrence of a fraudulent activity prior to actual occurrence of the fraud</t>
  </si>
  <si>
    <t>ONDC Specific Fraud scenario</t>
  </si>
  <si>
    <t>Obligations placed on NPs by ONDC</t>
  </si>
  <si>
    <t xml:space="preserve">Monitoring Methodology for Fraud Prevention shall include methods to detect possible fraud triggers before and even after occurrence of a fraudulent activity continuously over defined period of time. </t>
  </si>
  <si>
    <t>Reactive Methodology for Fraud Prevention shall include methods to identify the modus operandi and perpetrators of a fraudulent activity after occurrence of fraud and take corrective actions (if any) to ensure non-occurrence in the future.</t>
  </si>
  <si>
    <t>Onboarding</t>
  </si>
  <si>
    <t>Not applicable</t>
  </si>
  <si>
    <t>Source of data existing with</t>
  </si>
  <si>
    <t>Sellers on record</t>
  </si>
  <si>
    <r>
      <t>As per Clause 2.4.1 of Business Rules it states "</t>
    </r>
    <r>
      <rPr>
        <i/>
        <sz val="10"/>
        <color theme="1"/>
        <rFont val="Arial Narrow"/>
        <family val="2"/>
      </rPr>
      <t>...The responsibility for onboarding of Sellers and Service Providers made available in the Seller Side App or platform and ensuring the management of the end-to-end order lifecycle will be the sole responsibility of the Seller Side App.."</t>
    </r>
  </si>
  <si>
    <t>Prior to NPs 'Go live' on ONDC network, following NP's information is validated:
(i) GST API used to validate GST details of NPs.
(ii) Bank account and IFSC validation (to be implemented)
(iii) Subscriber API used to validate the Domain/subscriber ID of NPs.</t>
  </si>
  <si>
    <t>No</t>
  </si>
  <si>
    <t>Buyer application</t>
  </si>
  <si>
    <t>Craftsvilla, Spicemoney</t>
  </si>
  <si>
    <t>Buyers</t>
  </si>
  <si>
    <t>On receipt of complain/whistle blow by the Buyer application, Buyer application need to investigate the matter and take corrective action to ensure no similar incidents in the future.</t>
  </si>
  <si>
    <t>API</t>
  </si>
  <si>
    <t>Information available with Buyer app</t>
  </si>
  <si>
    <t>Information available with Seller app</t>
  </si>
  <si>
    <t>Information available with Gateways</t>
  </si>
  <si>
    <t>/search</t>
  </si>
  <si>
    <t>/on_search</t>
  </si>
  <si>
    <t>Sellers provide their catalog in response to buyer search</t>
  </si>
  <si>
    <t>Send draft order object with quoted price for selected items</t>
  </si>
  <si>
    <t>End</t>
  </si>
  <si>
    <t>Buyer App</t>
  </si>
  <si>
    <t>Seller app</t>
  </si>
  <si>
    <t>/on_select</t>
  </si>
  <si>
    <t>/select</t>
  </si>
  <si>
    <t>/on_init</t>
  </si>
  <si>
    <t>/init</t>
  </si>
  <si>
    <t>/on_confirm</t>
  </si>
  <si>
    <t>/confirm</t>
  </si>
  <si>
    <t>/on_track</t>
  </si>
  <si>
    <t>/track</t>
  </si>
  <si>
    <t>/on_cancel</t>
  </si>
  <si>
    <t>/cancel</t>
  </si>
  <si>
    <t>/on_update</t>
  </si>
  <si>
    <t>/update</t>
  </si>
  <si>
    <t>/on_status</t>
  </si>
  <si>
    <t>/status</t>
  </si>
  <si>
    <t>/on_rating</t>
  </si>
  <si>
    <t>/rating</t>
  </si>
  <si>
    <t>/on_support</t>
  </si>
  <si>
    <t>/support</t>
  </si>
  <si>
    <t>/on_search and /search</t>
  </si>
  <si>
    <t>sends payment details of the order</t>
  </si>
  <si>
    <t>Seller provides T&amp;C of the order</t>
  </si>
  <si>
    <t>Sends active order object</t>
  </si>
  <si>
    <t>Seller confirms the order</t>
  </si>
  <si>
    <t>Send tracking details of an active order</t>
  </si>
  <si>
    <t>Seller provides tracking details for an order</t>
  </si>
  <si>
    <t>Send cancellation request_id with reasons list in case of cancellation request. Else send cancelled order object</t>
  </si>
  <si>
    <t>Seller provides response to cancellation request</t>
  </si>
  <si>
    <t>Returns updated service with updated runtime object</t>
  </si>
  <si>
    <t>Seller provides response to order update</t>
  </si>
  <si>
    <t>Fetch the status of a Service</t>
  </si>
  <si>
    <t>Seller provides status information for order</t>
  </si>
  <si>
    <t>Provide feedback on a service</t>
  </si>
  <si>
    <t>Seller provides response to rating provided by buyer</t>
  </si>
  <si>
    <t>Contact Support</t>
  </si>
  <si>
    <t>Seller provides Contact Support details</t>
  </si>
  <si>
    <t>Seller provides quote for selected items</t>
  </si>
  <si>
    <t>Send catalog</t>
  </si>
  <si>
    <t>Mystore, XSX Grameen estore</t>
  </si>
  <si>
    <t>Order generation and fulfillment</t>
  </si>
  <si>
    <t xml:space="preserve">Life cycle of transaction for NPs </t>
  </si>
  <si>
    <t>On record seller</t>
  </si>
  <si>
    <r>
      <t>As per Clause 2.4.14 clause (a) of Business Rules it states "</t>
    </r>
    <r>
      <rPr>
        <i/>
        <sz val="10"/>
        <color theme="1"/>
        <rFont val="Arial Narrow"/>
        <family val="2"/>
      </rPr>
      <t>...ensure that descriptions of goods and services are accurate and correspond directly with the features of such goods and services through an undertaking by the Seller "</t>
    </r>
  </si>
  <si>
    <t>Nil</t>
  </si>
  <si>
    <r>
      <t>As per clause 3.1.2 clause (b) Commercial Components under Commercial Model states that</t>
    </r>
    <r>
      <rPr>
        <i/>
        <sz val="10"/>
        <color theme="1"/>
        <rFont val="Arial Narrow"/>
        <family val="2"/>
      </rPr>
      <t xml:space="preserve"> "...The Declared Price will be the price displayed to the Buyer and shall not exceed the maximum retail price of the specific product, as applicable"</t>
    </r>
  </si>
  <si>
    <r>
      <t>As per Clause 2.1.2 clause (a) of Business Rules it states "</t>
    </r>
    <r>
      <rPr>
        <i/>
        <sz val="10"/>
        <color theme="1"/>
        <rFont val="Arial Narrow"/>
        <family val="2"/>
      </rPr>
      <t>...The Participant will not conduct any transaction or any activity on the ONDC Network, which is illegal, unsafe, or is in violation of this Network Policy and Applicable Laws "</t>
    </r>
  </si>
  <si>
    <t>Gateways</t>
  </si>
  <si>
    <r>
      <t>As per Clause 2.2.2 of Business Rules it states "</t>
    </r>
    <r>
      <rPr>
        <i/>
        <sz val="10"/>
        <color theme="1"/>
        <rFont val="Arial Narrow"/>
        <family val="2"/>
      </rPr>
      <t>2.2.2	Gateway will not discriminate against or provide any preferential treatment to any Buyer Side App or Seller Sider App or their request or responses, and shall not provide any priority in terms of transmission of search results to a Network Participant over the other Network Participants or independently filter, edit, modify, or select any search request or responses, except in terms of providing value-added services or other services which are approved by ONDC in writing "</t>
    </r>
  </si>
  <si>
    <t>On receipt of complain/whistle blow against the Gateways, ONDCneed to investigate the matter and take corrective action to ensure no similar incidents in the future.</t>
  </si>
  <si>
    <r>
      <t>As per Clause 2.1.2 of Business Rules it states "</t>
    </r>
    <r>
      <rPr>
        <i/>
        <sz val="10"/>
        <color theme="1"/>
        <rFont val="Arial Narrow"/>
        <family val="2"/>
      </rPr>
      <t>The Participant will not conduct any transaction or any activity on the ONDC Network, ….or is in violation of this Network Policy and Applicable Laws"</t>
    </r>
  </si>
  <si>
    <t>Buyer application and Gateways</t>
  </si>
  <si>
    <t>Returns management, including exchange</t>
  </si>
  <si>
    <t>Logistics</t>
  </si>
  <si>
    <t>On record sellers</t>
  </si>
  <si>
    <t>Logistics Service Provider marks the order as delivered even though the order is not delivered using fake GPS applications for location tracking</t>
  </si>
  <si>
    <t>Logistics Service Provider</t>
  </si>
  <si>
    <t>Scoring and badging</t>
  </si>
  <si>
    <t>Post order fulfillment</t>
  </si>
  <si>
    <t>ONDC to conduct independent verification through  enquiries with sample buyers to ensure that the ratings pertaining to on record sellers provided by the Seller side app is correct</t>
  </si>
  <si>
    <t>1. Data analytics to be performed on transactional level data to identify instances wherein reviews have been provided by individuals other than the buyer of a particular transaction.
2. Conduct in-depth review/root cause analysis for instances identified through data analytics to identify further control gaps, if any that could lead to such instances.</t>
  </si>
  <si>
    <t>Change of shipping address post order placement to deliver goods to an unauthorized address (i.e. other than the address defined by the Buyer) by employee of the Buyer application.</t>
  </si>
  <si>
    <t>Data Analytics (DA) tools can be used to identify outliers with respect to role/domain/category under which NPs are transacting over ONDC network vis-à-vis role/domain/category mapped at NP onboarding stage.</t>
  </si>
  <si>
    <t>On record seller listing product and/or service/ categories for which they not are not authorized by the manufacturer/producer/distributor of the said product/product category.</t>
  </si>
  <si>
    <t>As per Clause 2.2.3 of Business Rules it states "In no instance will Gateway attempt to monetize, directly or indirectly, underlying search data and other transaction data received by Gateway as part of transactions on the ONDC Network except as approved by ONDC."</t>
  </si>
  <si>
    <t xml:space="preserve">Data Analytics (DA) tools can be used to identify outliers with respect to multiple customer using same card details, substantial first time buyers from same URL/same geography to identify possible bad actors.  </t>
  </si>
  <si>
    <t>Network participant can act as buyer side and also seller side. For eg. Marketplace with retailers can be seller side participant in retail domain but also act as a buyer side participant in the logisitcs domain for a digital retail transactions</t>
  </si>
  <si>
    <t>NP: Market Place Seller node (NP-MSN): Entity representing itself as as the marketplace (not a seller on record)</t>
  </si>
  <si>
    <t>Network Participant- Buyer Node (NP-BN): Entity enables any person to search for and buy products or services on the ONDC netwoek from any NP-ISN and NP-MSN</t>
  </si>
  <si>
    <t xml:space="preserve">Inventory Seller Node (NP-ISN) :On record seller on ONDC </t>
  </si>
  <si>
    <t>Entity enabling other entities to make their products/services available either as an aggregator acting as a seller on record or white labelled seller application.</t>
  </si>
  <si>
    <t>Enterprise making their product available over the network</t>
  </si>
  <si>
    <t>Small and medium start-ups</t>
  </si>
  <si>
    <t>Large Digital Commerce Platform</t>
  </si>
  <si>
    <t>Network Participants claissifed into 1) Buyer side and 2) Seller side can be detailed below:</t>
  </si>
  <si>
    <t>Total</t>
  </si>
  <si>
    <t>Payments</t>
  </si>
  <si>
    <t>Returns Management</t>
  </si>
  <si>
    <t>Logisitcs</t>
  </si>
  <si>
    <t>Invoicing and Reconcilation</t>
  </si>
  <si>
    <t>Catalog Management</t>
  </si>
  <si>
    <t>Customer and seller Onbaording</t>
  </si>
  <si>
    <t>Processes forming part of Material risks and forming responsibility of Network Participant</t>
  </si>
  <si>
    <t>Scoring and Badging</t>
  </si>
  <si>
    <r>
      <t>As per Clause 2.2.9 of Business Rules it states "</t>
    </r>
    <r>
      <rPr>
        <i/>
        <sz val="10"/>
        <color theme="1"/>
        <rFont val="Arial Narrow"/>
        <family val="2"/>
      </rPr>
      <t>If a Gateway permits the Buyer App to i catalogue search results of the Seller App, the Gateways must ensure the respective agreement with the Seller App permits such caching of the catalogue search results by the Buyer App"</t>
    </r>
  </si>
  <si>
    <t>Gateways and Buyer application</t>
  </si>
  <si>
    <r>
      <t>As per Clause 2.3.3 clause (i) of Business Rules it states "</t>
    </r>
    <r>
      <rPr>
        <i/>
        <sz val="10"/>
        <color theme="1"/>
        <rFont val="Arial Narrow"/>
        <family val="2"/>
      </rPr>
      <t>broadcast all search requests of End Users to Gateway and display only results received from the Gateway. Accordingly, Buyer Side Apps will not display results received independently from any Seller Side App, including their own or their Affiliate’s Seller Side App"</t>
    </r>
  </si>
  <si>
    <t>Data Analytics (DA) tools can be used to identify outliers with respect to the search results displayed by the buyer applications to the buyers to identify transactions wherein search results not routed through the gateway.</t>
  </si>
  <si>
    <r>
      <t>As per Clause 2.3.6 of Business Rules it states "</t>
    </r>
    <r>
      <rPr>
        <i/>
        <sz val="10"/>
        <rFont val="Arial Narrow"/>
        <family val="2"/>
      </rPr>
      <t>The Buyer Side App will be solely responsible for ensuring relevant due diligence and KYC of Customers or End Users on its platform as per the Applicable Law</t>
    </r>
    <r>
      <rPr>
        <sz val="10"/>
        <rFont val="Arial Narrow"/>
        <family val="2"/>
      </rPr>
      <t>"</t>
    </r>
  </si>
  <si>
    <r>
      <t>As per Clause 2.3.8 of Business Rules it states "</t>
    </r>
    <r>
      <rPr>
        <i/>
        <sz val="10"/>
        <color theme="1"/>
        <rFont val="Arial Narrow"/>
        <family val="2"/>
      </rPr>
      <t>The Buyer Side App will ensure that it displays all relevant and mandatory information received from Network Participants as per Applicable Laws to Customers / End Users. In the event any information or product listing does not have all relevant and mandatory information as per Applicable Laws, the Buyer Side App shall have the right to not display the same to the End Users or Customers "</t>
    </r>
  </si>
  <si>
    <r>
      <t>As per Clause 2.4.15 sub clause (b) of Business Rules it states "</t>
    </r>
    <r>
      <rPr>
        <i/>
        <sz val="10"/>
        <color theme="1"/>
        <rFont val="Arial Narrow"/>
        <family val="2"/>
      </rPr>
      <t>refrain from falsely representing itself as a Customer and post reviews about goods and services or misrepresenting the quality or the features of any goods or services"</t>
    </r>
  </si>
  <si>
    <t>ONDC registry (ONDC infrasturuture)//gateway send to registry</t>
  </si>
  <si>
    <t>Also</t>
  </si>
  <si>
    <t>Tech team</t>
  </si>
  <si>
    <t>ONDC registry not relevant</t>
  </si>
  <si>
    <t>Cannot happen</t>
  </si>
  <si>
    <t>Can happen</t>
  </si>
  <si>
    <t>Buyer NP name</t>
  </si>
  <si>
    <t>Order created and date and time</t>
  </si>
  <si>
    <t>Location</t>
  </si>
  <si>
    <t>Network Order ID</t>
  </si>
  <si>
    <t>Network Transaction ID</t>
  </si>
  <si>
    <t>Order stage</t>
  </si>
  <si>
    <t>Seller name</t>
  </si>
  <si>
    <t>Seller PIN code</t>
  </si>
  <si>
    <t>Time of order</t>
  </si>
  <si>
    <t>Time of delivered</t>
  </si>
  <si>
    <t>Cancelled by and reasons and time of cancellation</t>
  </si>
  <si>
    <t>Delivery city</t>
  </si>
  <si>
    <t>Seller and Buyer</t>
  </si>
  <si>
    <t>Order object</t>
  </si>
  <si>
    <r>
      <t>As per Clause 2.3.16  of Business Rules it states "</t>
    </r>
    <r>
      <rPr>
        <i/>
        <sz val="10"/>
        <color theme="1"/>
        <rFont val="Arial Narrow"/>
        <family val="2"/>
      </rPr>
      <t>If a Buyer Side App caches the search results relayed by the Gateway containing details of the catalogue offered by Seller Side Apps, at the time of performing a search on the cache data, a parallel search request must be sent to the Gateway, to ensure inclusion of Sellers that may have been added to the Network in the time between the previous update of the cache and the time of the search. Any Buyer App caching information must, at all times, comply with the time-to-live specified by the Seller Apps for every field of the catalogue, and that they refresh their cached catalogues to ensure most recent listings are made available to the End User"</t>
    </r>
  </si>
  <si>
    <r>
      <t>As per Clause 2.4.14 sub clause (a) and clause 2.5.15 sub clause (e) of Business Rules it states "...</t>
    </r>
    <r>
      <rPr>
        <i/>
        <sz val="10"/>
        <color theme="1"/>
        <rFont val="Arial Narrow"/>
        <family val="2"/>
      </rPr>
      <t>ensure that descriptions of goods and services are accurate and correspond directly with the features of such goods and services through an undertaking by the Seller or Service Provider...shall bear liability for the authenticity of goods or services, if it explicitly or implicitly vouches for the authenticity of the goods or services sold by it, or guarantees that such goods or services are authentic."</t>
    </r>
  </si>
  <si>
    <r>
      <t>As per clause 2.5.1 of Business rules, it states that "</t>
    </r>
    <r>
      <rPr>
        <i/>
        <sz val="10"/>
        <color theme="1"/>
        <rFont val="Arial Narrow"/>
        <family val="2"/>
      </rPr>
      <t>ONDC will, in due course, by itself or through an authorized entity, create and maintain a Scoring/Badging system or registry for Sellers and Buyers on the basis of data that the Participants may provide with consent as required under the Applicable Laws. The Participant shall be responsible for the data provided to ONDC</t>
    </r>
    <r>
      <rPr>
        <sz val="10"/>
        <color theme="1"/>
        <rFont val="Arial Narrow"/>
        <family val="2"/>
      </rPr>
      <t>"</t>
    </r>
  </si>
  <si>
    <r>
      <t xml:space="preserve">As per clause 2.5.1 of Business rules, it states that </t>
    </r>
    <r>
      <rPr>
        <i/>
        <sz val="10"/>
        <color theme="1"/>
        <rFont val="Arial Narrow"/>
        <family val="2"/>
      </rPr>
      <t>"ONDC will, in due course, by itself or through an authorized entity, create and maintain a Scoring/Badging system or registry for Sellers and Buyers on the basis of data that the Participants may provide with consent as required under the Applicable Laws. The Participant shall be responsible for the data provided to ONDC"</t>
    </r>
  </si>
  <si>
    <t>Scoring for a particular transaction provided by individuals (related or known to the on-record sellers) other than genuine buyers of the products/and or services.</t>
  </si>
  <si>
    <t>V1_16.11.22</t>
  </si>
  <si>
    <t>Case</t>
  </si>
  <si>
    <t>Logistic costs</t>
  </si>
  <si>
    <t>RTO costs</t>
  </si>
  <si>
    <t>Payment Gateway charges</t>
  </si>
  <si>
    <t>Cost of inventory holding and/or reselling at discounted rates</t>
  </si>
  <si>
    <t>Delivery cost (Forward shipping)</t>
  </si>
  <si>
    <t>Fraud scenarios</t>
  </si>
  <si>
    <t>Done by</t>
  </si>
  <si>
    <t>Collection by</t>
  </si>
  <si>
    <t>Buyer app</t>
  </si>
  <si>
    <t>Logistics Partner (COD)</t>
  </si>
  <si>
    <t>1a</t>
  </si>
  <si>
    <t>1b</t>
  </si>
  <si>
    <t>Cancellation by Buyer prior to delivery but after order picked up by Logistics Partner and Buyer app agrees and refunds to the buyer</t>
  </si>
  <si>
    <t>NA</t>
  </si>
  <si>
    <t>2a</t>
  </si>
  <si>
    <t>2b</t>
  </si>
  <si>
    <t>Data with ONDC (ONDC Registry)</t>
  </si>
  <si>
    <t>Buyer does not accept delivery of the product when Logistic Partner reaches his doorstep and seller claims RTO product damaged and is proved based on investigation by Seller app</t>
  </si>
  <si>
    <t>Party responsible for damage (Buyer or Logistics partner)</t>
  </si>
  <si>
    <t>Buyer does not accept delivery of the product when Logistic Partner reaches his doorstep and seller claims RTO product damaged and is not proved/not conclusive based on investigation by Seller app</t>
  </si>
  <si>
    <t>Onrecord Seller or Inventory seller</t>
  </si>
  <si>
    <t>Seller app/on record seller or Inventory seller</t>
  </si>
  <si>
    <t>Buyer cancells a non cancellable order prior to shipment and seller app accepts it</t>
  </si>
  <si>
    <t>3a</t>
  </si>
  <si>
    <t>3b</t>
  </si>
  <si>
    <t>Seller app/on record seller</t>
  </si>
  <si>
    <t>Buyer cancells a non cancellable order prior to shipment and seller app does not accept it and buyer does not accept delivery and raises a refund request and Logisitcs Partner RTO and then seller app/onrecord sellers accept it</t>
  </si>
  <si>
    <t>Buyer requests return of product citing brand packing or product is damaged or original tags missing/ not working/ incomplete items of product</t>
  </si>
  <si>
    <t>Buyer/Seller/Logisitcs partner (based on the outcome of the investigation)</t>
  </si>
  <si>
    <t>Cost of Product/refurbishment</t>
  </si>
  <si>
    <t>Buyer returns products which is received by the seller and then seller claims that return product is damaged/deficient</t>
  </si>
  <si>
    <t>Seller/Logisitcs partner 
(based on the outcome of the investigation)</t>
  </si>
  <si>
    <t xml:space="preserve">Buyer returns products which has original tags and has no damage </t>
  </si>
  <si>
    <t>Buyer raises return, LP collects the product but seller does not receive it within 3 months period</t>
  </si>
  <si>
    <t>Seller app/seller or Logisitcs partner
(Based on the POD displayed by Logistics)</t>
  </si>
  <si>
    <t>Delivery reported by Logistics but buyer claims that product never got delivered which was proved</t>
  </si>
  <si>
    <t>Buyer refuses food delivery or raises request for refund on account of delayed delivery</t>
  </si>
  <si>
    <t>Fraud risk universe and monitoring mechanism (Guidance for ONDC and NPs)</t>
  </si>
  <si>
    <t>1. KYC documents like PAN, GST etc of the onrecord sellers.
2. Background verification of onrecord sellers which shall include nature of business, year of establishment, scale of operations, past customer profile, past performances etc.
3. Financials and other regulatory filing documents like GST returns, ITR filings etc.</t>
  </si>
  <si>
    <t>1. Background verification report of onrecord sellers which shall include nature of business, year of establishment, scale of operations, past customer profile, past performances etc.
2. Financials and other regulatory filing documents like GST returns, ITR filings etc.</t>
  </si>
  <si>
    <t>1. Background verification of onrecord sellers which shall include nature of business, year of establishment, scale of operations, past customer profile, past performances etc.
2. Financials and other regulatory filing documents like GST returns, ITR filings, license and agreements with manufacturer/dealers/distributors whose products/services, on record seller is engaged. .</t>
  </si>
  <si>
    <t>Indicative information/data needed for monitoring mechanism</t>
  </si>
  <si>
    <t>On record seller with repeated non adherence (beyond tolerance) to the performance criteria during fulfillment of the orders going unnoticed without any discplinary action initiated against it by markerplace seller.</t>
  </si>
  <si>
    <t>Questions/Clarification from Tech Team</t>
  </si>
  <si>
    <t>We wanted to understand whether it is possible for ONDC onboarded Gateways to multicast buyers search to sellers even outside the ONDC network.</t>
  </si>
  <si>
    <t>We wanted to understand whether Gateways while relaying the response against the buyer search results can exclude certain marketplace and/or inventory sellers</t>
  </si>
  <si>
    <t>We want to understand whether shipping details and/or any terms of warranty etc agreed with the buyer post order confirmation can be revised by the Seller application</t>
  </si>
  <si>
    <t>We want to understand whether inventory levels of the Products shown in the catalogue to the buyers through the gateway gets refreshed prior to order confirmation to ensure placing order is not possible without requisite inventory with seller</t>
  </si>
  <si>
    <t>Can buyer order be placed on cached catalogue data of seller application cached by Buyer application.</t>
  </si>
  <si>
    <t xml:space="preserve">Example </t>
  </si>
  <si>
    <t>Any policy violation with an intent to defraud to buyers</t>
  </si>
  <si>
    <t>Seller Side App undertaking unauthorized modifications in rating of it's on record sellers to garner more business towards them.</t>
  </si>
  <si>
    <t>Probability of occurance of Fraud Risk Scenario (Highly Probable/Probable/
Remotely Probable)</t>
  </si>
  <si>
    <t>Probable</t>
  </si>
  <si>
    <t>Highly Probable</t>
  </si>
  <si>
    <t xml:space="preserve">Marketplace app Seller
</t>
  </si>
  <si>
    <t>Direct on record sellers registered on a Marketplace app seller</t>
  </si>
  <si>
    <t>Marketplace app Seller</t>
  </si>
  <si>
    <t>On record seller impersonates an established/ well reputed seller (not on ONDC network) and gets registered on the Marketplace app seller using forged/fake KYC information.</t>
  </si>
  <si>
    <t xml:space="preserve">Marketplace app seller and Buyer application and Gateways
</t>
  </si>
  <si>
    <t>Marketplace app/ Buyer application and Gateways onboarding</t>
  </si>
  <si>
    <t xml:space="preserve">Buyer application and Marketplace app seller
</t>
  </si>
  <si>
    <t>Marketplace app seller</t>
  </si>
  <si>
    <t>Marketplace app seller/Gateways</t>
  </si>
  <si>
    <t>Marketplace app sellers</t>
  </si>
  <si>
    <t xml:space="preserve">Marketplace app Seller </t>
  </si>
  <si>
    <t>Collusion between Marketplace app seller and on record sellers to delete/remove negative reviews provided by genuine buyers</t>
  </si>
  <si>
    <t>Marketplace app Seller and on record sellers</t>
  </si>
  <si>
    <t>1. Audit logs, if any available with the Marketplace app seller app to be reviewed to identify instances of change in reviews provided by buyers
2. ONDC to conduct independent verification through  enquiries with sample buyers to gather information on the feedback of the buyers</t>
  </si>
  <si>
    <t>Marketplace app and Inventory Seller app onboarding</t>
  </si>
  <si>
    <t>Same buyer getting onboarded as multiple different buyers using forged/manipulated KYC documents to favour certain on record sellers/ Marketplace app seller/ Inventory Seller app and/or all by false reviews.</t>
  </si>
  <si>
    <t xml:space="preserve">Buyer application which is an affiliate/related party to the Marketplace app and/or Inventory Seller app onboards fake buyers on its application to influence genuine buyers. </t>
  </si>
  <si>
    <t>Buyer application and Marketplace app and/or Inventory Seller app</t>
  </si>
  <si>
    <t>Marketplace app and Inventory Seller app/ Buyer application onboarding</t>
  </si>
  <si>
    <t>1. Information pertaining to Gateways like PAN,  bank account details, IFSC code, PIN location, contact details, GST no, shareholding. Director, proprietor information, partnership firm etc recorded as a part of Gateway, Buyer application and/or Marketplace app/Inventory Seller app  onboarding by ONDC.
2. Buyer search and response information with details of the order, product, buyer name, seller name product category, buyer address, delivery time, time of order etc recorded by Buyer application and Marketplace app and/or Inventory Seller apps.</t>
  </si>
  <si>
    <t>On record seller/Inventory Seller app</t>
  </si>
  <si>
    <t>Marketplace app and/or Inventory Seller app</t>
  </si>
  <si>
    <t xml:space="preserve">eSamudaay, Gofrugal/Petpooja and Small/medium sized Inventory Seller apps </t>
  </si>
  <si>
    <t>On record seller and /or Inventory Seller app</t>
  </si>
  <si>
    <t>On record seller and/or Inventory Seller app listing product and/or service/ categories which fall under illegal/not permissible under applicable Central and/or State or Local Laws</t>
  </si>
  <si>
    <t xml:space="preserve">Buyer Search data multicasted by the Gateway to Marketplace app and/or Inventory Seller apps and response from Marketplace app and/or Inventory Seller apps rely back to buyer applications over the ONDC network. </t>
  </si>
  <si>
    <t>On record sellers on a Marketplace app and/or Inventory Seller apps intentionally cancels order from buyers using the ONDC network and then approaches buyers directly (using the customer related information received) to fulfill their orders outside the ONDC network.</t>
  </si>
  <si>
    <t>On record sellers and/or Inventory Seller apps</t>
  </si>
  <si>
    <t>Marketplace app sellers and Inventory Seller apps</t>
  </si>
  <si>
    <t>Sellers on record and/or Inventory Seller apps misrepresents the brand and quality of the products/services at ordering stage on the ONDC network and during fulfillment of the order uses sub-standard and/or poor, inadequate quality.</t>
  </si>
  <si>
    <t xml:space="preserve">Sellers on record and/or Inventory Seller apps misrepresents the description of the products/services at ordering stage on the ONDC network and during fulfillment of the order uses damaged products. </t>
  </si>
  <si>
    <t xml:space="preserve">Sellers on record and/or Inventory Seller apps misrepresents the description of the products/services at ordering stage on the ONDC network and during fulfillment of the order uses ingenuine, counterfeit,  look alike, non-branded products. </t>
  </si>
  <si>
    <t>Buyer application charges discriminatory finder fee type and value from affiliated and non-affiliated Marketplace app seller and/or Inventory Seller app. This would lead to lower declared value to the Buyers for same product and/or services offered by affiliated Marketplace app and/or Inventory Seller apps</t>
  </si>
  <si>
    <t>Information which shall include but not limited to the details of the finder fees charged, type of finder fees levied by the Buyer application with details of the Marketplace app and/or Inventory Seller apps, product, product category, order value, order time, order date , buyer and seller names, location, network ID, network transaction ID etc.</t>
  </si>
  <si>
    <t>Marketplace seller app</t>
  </si>
  <si>
    <t>Marketplace seller app/Inventory Seller app</t>
  </si>
  <si>
    <t xml:space="preserve">Marketplace seller app/ONDC
</t>
  </si>
  <si>
    <t>Buyer application and Marketplace and/or Inventory Seller app</t>
  </si>
  <si>
    <t xml:space="preserve">Buyer app/ Marketplace Seller app/ Inventory Seller app
</t>
  </si>
  <si>
    <t>Marketplace Seller
app</t>
  </si>
  <si>
    <t xml:space="preserve">Marketplace Seller and/or Inventory Seller app 
</t>
  </si>
  <si>
    <t>Gateway get registered on the ONDC network without disclosing that its affiliates are registered on the ONDC network as buyer application and Marketplace app sellers.</t>
  </si>
  <si>
    <t>Buyer application and Marketplace seller and/or inventory seller app</t>
  </si>
  <si>
    <t>Onrecord seller</t>
  </si>
  <si>
    <t>Buyer application and marketplace and/or inventory seller app</t>
  </si>
  <si>
    <t xml:space="preserve">Marketplace seller and/or inventory seller app
</t>
  </si>
  <si>
    <t>Employees of Seller side apps</t>
  </si>
  <si>
    <t>Marketplace and/or inventory seller app</t>
  </si>
  <si>
    <t>Onrecord sellers (providing logistics services)</t>
  </si>
  <si>
    <t>Count of unique fraud scenarios</t>
  </si>
  <si>
    <t xml:space="preserve">1. Collusion between LP of onrecord and/or inventory seller, fake/fictitious orders placed by acquantainces of LP and/or onrecord sellers and cancellations made after pick up made by the Logistics partner to earn undue logistics costs from buyer applications.
2. Post pickup of the products, physical theft of the products by representatives of the Logistics partner.
</t>
  </si>
  <si>
    <t xml:space="preserve">Marketplace seller app and Inventory Seller app
</t>
  </si>
  <si>
    <t>Sellers on record onboarded to a Marketplace app and/or inventory seller on a technology platform</t>
  </si>
  <si>
    <t>Gofrugal</t>
  </si>
  <si>
    <t>Whether ONDC has access to it for preventive mechanism</t>
  </si>
  <si>
    <t>Indicative checks</t>
  </si>
  <si>
    <t>Inventory Seller app</t>
  </si>
  <si>
    <t>Network Participants for ONDC</t>
  </si>
  <si>
    <t>Ecosystem Participant</t>
  </si>
  <si>
    <t>Technology Service Providers</t>
  </si>
  <si>
    <t>Participants to ONDC's NP</t>
  </si>
  <si>
    <t>Cross verification of the KYC documents submitted by the NPs from information available on authentic sources on the public domain.</t>
  </si>
  <si>
    <t>Identification of undisclosed relationships/connections between NP entities (which are Companies) with other NPs on the ONDC network by examinattion of records available on MCA databases</t>
  </si>
  <si>
    <t>Identification of disclosed relationships between NP entities (which are Companies) with other NPs on the ONDC network by examinattion of records available on MCA databases.</t>
  </si>
  <si>
    <t>Analysis of the audited financial statements of NP entities to evaluate the financial metrics and ratios in order to assess the financial strength of the NP entities.</t>
  </si>
  <si>
    <t>NP Existence related validation checks</t>
  </si>
  <si>
    <t>Ownership/Corporate structure of the NP Entity (key officers, shareholders and subsidiaries/associate companies, key financials), as available from the Registrar of Companies online as well other public domain sources</t>
  </si>
  <si>
    <t>Media and internet search on the NP Entities as well as the brand(s) owned by the NP Entity with an aim to identify any unfavourable or adverse information which may be publicly available in English</t>
  </si>
  <si>
    <t>Credit ratings of the NP entity as available from the public domain</t>
  </si>
  <si>
    <t xml:space="preserve"> Media and internet searches on the NP Entity to identify market standing of the NP Entity</t>
  </si>
  <si>
    <t>Credit default checks as available from the website of TransUnion CIBIL Limited/ other equivalent authority to identify willful default cases</t>
  </si>
  <si>
    <t>Frauds, corruption and money laundering offences (if any) against the NPs</t>
  </si>
  <si>
    <t>Regulatory checks pertaining to any notices, defaults or penalties imposed on the NP Entity(s) by regulatory authorities including Reserve Bank of India, Securities and Exchange Board of India, Ministry of Corporate Affairs, Central Board of Excise and Customs and any anti-bribery issues or money laundering as available in the public domain</t>
  </si>
  <si>
    <t>Conviction for any offence, if any, during the preceding 10 years</t>
  </si>
  <si>
    <t>Debarment, if any, from accessing to, or trading in, securities markets under any order or directions of the Securities and Exchange Board of India (India); and any other relevant orders pertaining to the NP entity, as available</t>
  </si>
  <si>
    <t>International watch list checks (as available in the public domain and subscribed databases) including sanctioned or banned lists</t>
  </si>
  <si>
    <t>Litigation history of the NP(s) covering High Courts, Supreme Courts, Tribunals, Consumer Forums etc. including lawsuits as available in the public domain (for relevant official jurisdiction) and subscribed databases for last 10 years to identify disposed and pending lawsuits (including criminal and civil)</t>
  </si>
  <si>
    <t>NPs Financial Health validation checks</t>
  </si>
  <si>
    <t xml:space="preserve">NPs background validation checks </t>
  </si>
  <si>
    <t xml:space="preserve">Physical checks to validate NPs related </t>
  </si>
  <si>
    <t>Ascertain the correctness and genuiness of the business location declared by the NP.</t>
  </si>
  <si>
    <t>Ascertain whether NP is engaged in the declared nature of business</t>
  </si>
  <si>
    <t>Visit of the NPs place of business to evaluate the scale of its operations vis-à-vis scale of operations declared by the NPs</t>
  </si>
  <si>
    <t>Ascertain the operational assets declared by the NPs with actual operational assets verified at the NP locations. For e.g. Logistics service provider declares a substantial fleet of delivery vehicle while on physical visit, NP does not have vehicle storage and material loading faciility.</t>
  </si>
  <si>
    <t>Ascertain feedback from the reference declared (if any) by the NPs</t>
  </si>
  <si>
    <t>Ascertain whether NPs have mandatory Government regulated licenses depending on the nature of operations and business</t>
  </si>
  <si>
    <t>Examination of the compliance certificates, regulatory and statutory certificatio for laws and regulations prescribed under different Acts by Central, State and Local bodies</t>
  </si>
  <si>
    <t>Ascertain whether NPs have title (in case owned) and/or valid rental agreement for the establishment from which the NPs operates. For e.g. warehouse service provider doe not have a genuine warehouse/godown for conducting its operations.</t>
  </si>
  <si>
    <t>Identification and examination of employee count over Employee Provident Fund (EPFO) and ESIC databases vis-à-vis employee count declared by the NPs.</t>
  </si>
  <si>
    <t>Marketplace seller app (including Logistics service provider)</t>
  </si>
  <si>
    <t>Large</t>
  </si>
  <si>
    <t>Medium/Small</t>
  </si>
  <si>
    <t>a</t>
  </si>
  <si>
    <t>Law Enforcement Most Wanted databases, crimes of dishonesty</t>
  </si>
  <si>
    <t>Categorization of a NP as a large and medium/small player can be based on pre determined thresholds of i) turnover ii) scale of operations iii) Nature of services and products (iv) Listed public limited company</t>
  </si>
  <si>
    <t>Politically exposed persons databases as well as public domain checks to identify any political linkages/ affiliations</t>
  </si>
  <si>
    <t>KYC documents like PAN, GST etc of the onrecord sellers.</t>
  </si>
  <si>
    <t>Background verification of onrecord sellers which shall include nature of business, year of establishment, scale of operations, past customer profile, past performances etc.</t>
  </si>
  <si>
    <t>KYC documents like PAN, GST etc of the Inventory seller app.</t>
  </si>
  <si>
    <t>Background verification of inventory  sellers app which shall include nature of business, year of establishment, scale of operations, past customer profile, past performances etc.</t>
  </si>
  <si>
    <t>Financials and other regulatory filing documents like GST returns and ITR filing of the onrecord sellers</t>
  </si>
  <si>
    <t>Financials and other regulatory filing documents like GST returns and ITR filing of Inventory Seller app</t>
  </si>
  <si>
    <t>KYC documents like PAN, GST etc of the marketplace seller app which shall include logistics seller apps and Technology service providers onboarding as marketplace seller app.</t>
  </si>
  <si>
    <t>Financials and other regulatory filing documents like GST returns and ITR filing of the marketplace seller app which shall include logistics seller apps and Technology service providers onboarding as marketplace seller</t>
  </si>
  <si>
    <t>Onrecord seller related information and underlying documents for bank account details, PIN location, contact details, shareholding. Director, proprietor information, partnership firm and other statutory details like MSMED certificate, shop establisment number etc recorded as a part of onrecord sellers onboarding by the Marketplace seller app.</t>
  </si>
  <si>
    <t>Inventory seller app related information and underlying documents for bank account details, PIN location, contact details, shareholding. Director, proprietor information, partnership firm and other statutory details like MSMED certificate, shop establisment number etc.</t>
  </si>
  <si>
    <t>Marketplace seller app which shall include logistics seller apps and Technology service providers onboarding as marketplace seller related information and underlying documents for bank account details, PIN location, contact details, shareholding. Director, proprietor information, partnership firm and other statutory details like MSMED certificate, shop establisment number etc.</t>
  </si>
  <si>
    <t>Gateway related information and underlying documents for bank account details, PIN location, contact details, shareholding. Director, proprietor information, partnership firm and other statutory details</t>
  </si>
  <si>
    <t>Technology Service Provider (TSP) related information and underlying documents for bank account details, PIN location, contact details, shareholding. Director, proprietor information, partnership firm and other statutory details</t>
  </si>
  <si>
    <t>Transaction data of orders confirmed over the ONDC network for which transaction contract generated with details of:
Buyer and seller,buyer application,  order confirmation date and time, ONDC network ID, ONDC Network Transaction ID, Order stage, Buyer location, Seller location, time of delivery, Cancelled by and reasons and time of cancellation (if cancelled recorded by the markerplace seller app and inventory seller app</t>
  </si>
  <si>
    <t>Affiliation and/or dealer distributorship agreements with manufacturer whose products/services, on record seller is engaged.</t>
  </si>
  <si>
    <t>Information with details of the NPs onboarding which shall include but not limited to Network Participant Profile Form with details of the role, domain and category choosen by the NP</t>
  </si>
  <si>
    <t>Information of the Buyer search on the buyer application multicasted by the Gateways.</t>
  </si>
  <si>
    <t xml:space="preserve">Information with details of the algoritms, logics used by Buyer applications for filtering search results to the buyers </t>
  </si>
  <si>
    <t xml:space="preserve"> Data of catalogue and quoted price of products/services shared by marketplace and/or inventory seller application with buyer application over the ONDC network.</t>
  </si>
  <si>
    <t>Information generated at all the API's prior to confirm API generated by the seller application for the onrecord sellers</t>
  </si>
  <si>
    <t>Information generated at all the API's prior to confirm API generated by the buyer application for buyers</t>
  </si>
  <si>
    <t>Transaction data of orders confirmed over the ONDC network for which transaction contract generated with details of:
Buyer and seller,buyer application,  order confirmation date and time, ONDC network ID, ONDC Network Transaction ID, Order stage, Buyer location, Seller location, time of delivery, Cancelled by and reasons and time of cancellation (if cancelled recorded by Buyer application</t>
  </si>
  <si>
    <t>Data of finder fees charged, type of finder fees levied by the Buyer application with details of the Marketplace app and/or Inventory Seller apps, product, product category, order value, order time, order date , buyer and seller names, location, network ID, network transaction ID etc.</t>
  </si>
  <si>
    <t>Data of the cached catalogue of the marketplace and/or inventory seller application by the Buyer application along with the logs showing cache data refresh (basis the agreed Time to Live)</t>
  </si>
  <si>
    <t>r</t>
  </si>
  <si>
    <t>Inventory seller app</t>
  </si>
  <si>
    <t>Background verification of marketplace seller app which shall include logistics seller apps and Technology service providers onboarding as marketplace seller which shall include nature of business, year of establishment, scale of operations, past customer profile, past performances</t>
  </si>
  <si>
    <t>Technology Service Provider</t>
  </si>
  <si>
    <t xml:space="preserve">Marketplace seller app and Inventory seller app </t>
  </si>
  <si>
    <t>Marketplace seller app and Inventory seller app/ Buyer application /Gateway</t>
  </si>
  <si>
    <t>Data of the quoted price with rebate, discounts, coupons etc permitted to determine the order value for the buyer at confirm API for the products/services shared by marketplace and/or inventory seller application over the ONDC network</t>
  </si>
  <si>
    <t xml:space="preserve"> Information of the customer complaints which shall include not limited to the nature of complaint, description of the complaint around the product, date and time of complaint, photograps/video submitted by the buyer. (IGM mechanism)</t>
  </si>
  <si>
    <t>Indicative NP Due Diligence Checklist at Onboarding on the ONDC network</t>
  </si>
  <si>
    <t>Indicative Data Analytics (DA) Routine</t>
  </si>
  <si>
    <t>Process during the lifecyle of a transaction over the ONDC network</t>
  </si>
  <si>
    <t>Indicative Data Analytics Routine for Continous Monitoring mechanism (Work In Progress)</t>
  </si>
  <si>
    <t>Data analytics to be performed on transactional level data to identify instances wherein address has been changed post order placement to identify system loop holes being exploited.</t>
  </si>
  <si>
    <t>Data analytics to be performed on transactional level data to identify trend of such failed attempts with a particular logistics service provider.</t>
  </si>
  <si>
    <t xml:space="preserve">Invoice numbers sequence anomalies for the invoices generated by onrecord sellers and/or inventory seller app </t>
  </si>
  <si>
    <t>NP due diligence checks defined in NP Due Diligences Checklist</t>
  </si>
  <si>
    <t xml:space="preserve">Periodic Audit Checklist defined for NPs
</t>
  </si>
  <si>
    <t xml:space="preserve">Indicative Data Analytics (DA) Routine for NPs
</t>
  </si>
  <si>
    <r>
      <rPr>
        <b/>
        <sz val="10"/>
        <color theme="1"/>
        <rFont val="Arial Narrow"/>
        <family val="2"/>
      </rPr>
      <t>Possible System Check:</t>
    </r>
    <r>
      <rPr>
        <sz val="10"/>
        <color theme="1"/>
        <rFont val="Arial Narrow"/>
        <family val="2"/>
      </rPr>
      <t xml:space="preserve"> ONDC need to ensure NP cannot render any services under any  role/domain/category other than the role/domain/category selected at onboarding stage.</t>
    </r>
  </si>
  <si>
    <t>Marketplace sellerapp</t>
  </si>
  <si>
    <r>
      <rPr>
        <b/>
        <sz val="10"/>
        <color theme="1"/>
        <rFont val="Arial Narrow"/>
        <family val="2"/>
      </rPr>
      <t xml:space="preserve">Possible System Check: </t>
    </r>
    <r>
      <rPr>
        <sz val="10"/>
        <color theme="1"/>
        <rFont val="Arial Narrow"/>
        <family val="2"/>
      </rPr>
      <t>Marketplace app seller to ensure that reviews on product and/or services can be given by customer with actual orders.</t>
    </r>
  </si>
  <si>
    <t>Possible System Check:  : Buyer application to lay down a policy and to build in controls in their system to ensure that no change can be made in delivery address post order placement</t>
  </si>
  <si>
    <t>Additional NP obligations to mitigate Fraud Risk Scenarios</t>
  </si>
  <si>
    <r>
      <t>As per Clause 2.1.25 of Business Rules it states "</t>
    </r>
    <r>
      <rPr>
        <i/>
        <sz val="10"/>
        <color theme="1"/>
        <rFont val="Arial Narrow"/>
        <family val="2"/>
      </rPr>
      <t>In case an entity operating a Buyer Side App or a Seller Side App (E1) and an entity that operates a Gateway (E2) are Affiliates:
a.	both such entities shall disclose their relationship to ONDC and other Network Participants"</t>
    </r>
  </si>
  <si>
    <t>Existing Obligations placed on NPs by ONDC</t>
  </si>
  <si>
    <t>Onrecord seller on the marketplace seller app and/or inventory seller app to explicity declare contractual arrrangement/license (if any) for the products/services offered to buyers over the ONDC network.</t>
  </si>
  <si>
    <r>
      <t>As per Clause 2.1.2 of Business Rules it states "</t>
    </r>
    <r>
      <rPr>
        <i/>
        <sz val="10"/>
        <color theme="1"/>
        <rFont val="Arial Narrow"/>
        <family val="2"/>
      </rPr>
      <t>The Participant will not conduct any transaction or any activity on the ONDC Network, which is illegal, unsafe, or is in violation of this Network Policy and Applicable Laws"</t>
    </r>
  </si>
  <si>
    <t>Marketplace seller shall put an obligation on its onrecord sellers and ONDC to put an obligation on the Inventory seller app to ensure that there is no discrepancy/misrepresentation in the brand, quality, features, condition of such products delivered to buyers vis-à-vis order confirmed by the buyers.</t>
  </si>
  <si>
    <t>3c</t>
  </si>
  <si>
    <r>
      <t xml:space="preserve">As per Clause 2.4.4 of Business Rules it states </t>
    </r>
    <r>
      <rPr>
        <i/>
        <sz val="10"/>
        <color theme="1"/>
        <rFont val="Arial Narrow"/>
        <family val="2"/>
      </rPr>
      <t>"...(a)	ensure that they faithfully display the descriptions of goods and services as relayed by the Seller and/or Seller Side App. (b)	describe any differential treatment that is given to goods, services or Sellers or Service Providers of the same category</t>
    </r>
    <r>
      <rPr>
        <sz val="10"/>
        <color theme="1"/>
        <rFont val="Arial Narrow"/>
        <family val="2"/>
      </rPr>
      <t>"</t>
    </r>
  </si>
  <si>
    <r>
      <t xml:space="preserve">As per Clause 2.4.14 point (b)  of Business Rules it states " </t>
    </r>
    <r>
      <rPr>
        <i/>
        <sz val="10"/>
        <color theme="1"/>
        <rFont val="Arial Narrow"/>
        <family val="2"/>
      </rPr>
      <t>If a Seller Side App is a marketplace e-commerce entity, in addition to the other obligations mentioned, such Seller Side App is required to: (b)	take reasonable efforts to maintain a record of Sellers or Service Providers who repeatedly offered goods or services that have been removed by the platform under Applicable Law"</t>
    </r>
  </si>
  <si>
    <t>Obligation should be placed on the marketplace seller app to define the mechanism for penalizing the onrecord sellers who are repeat offenders of not meeting the performance criteria transacting over the ONDC network.</t>
  </si>
  <si>
    <t>Gap (if any) in the NP obligations which can be strengthned by ONDC considering the fraud risk scenarios</t>
  </si>
  <si>
    <t>Marketplace seller shall put an obligation on its onrecord sellers and ONDC to put an obligation on the Inventory seller app not to involve in the practice of cancelling orders on the ONDC network and then approaching customers to fulfill the order outside ONDC network for its commercial benefits</t>
  </si>
  <si>
    <t>Buyer application should display the uniform general method based on which finder fees is computed by the Buyer application.</t>
  </si>
  <si>
    <r>
      <t xml:space="preserve">As per Clause 2.3.1 sub clause (b) of Business Rules it states </t>
    </r>
    <r>
      <rPr>
        <i/>
        <sz val="10"/>
        <color theme="1"/>
        <rFont val="Arial Narrow"/>
        <family val="2"/>
      </rPr>
      <t>"The responsibility for onboarding of Customers or End Users and the management of the end-to-end order lifecycle including but not limited to onboarding, displaying catalogue in response to search requests, order creation, enabling returns, cancellation, customer support, will be the responsibility of the Buyer Side App as per the arrangement with other Network Participants"</t>
    </r>
  </si>
  <si>
    <t>Onrecord logistics seller /or Onrecord seller  and/or Inventory seller</t>
  </si>
  <si>
    <t xml:space="preserve">Onrecord logistics seller </t>
  </si>
  <si>
    <t xml:space="preserve">1. Acquantainces of Logistics Provider places orders as buyers on the buyer application and payment mode selected is COD. LSP agent shows delivery attempt while the above buyer does not accept delivery. As a result Logistics Partner (LP) earns income for delivery and RTO delivery costs from the buyer application.
2. Acquantainces of Logistics Provider places orders as buyers on the buyer application and pays on the buyer application. LSP agent shows delivery attempt while above buyer does not accept delivery in lieu of earning logistics income for delivery and the Return to Origin (RTO) delivery from the buyer application.
3. Agent of the LP recieves a OK product which is claimed damaged by the buyer. In lieu of personal profiteering, agent of the LP records it as damaged product </t>
  </si>
  <si>
    <t xml:space="preserve">1. Agent of LP colludes with the buyers to pass off a ingenuine product return request as genuine by fabricating the evidence taken to prove the packing, tags etc issues in lieu of personal gains from the buyers.
2. Agent of LP recieves the original product where missing original tags concern raised by the buyer and confiscate the product for personal gains. Further replaces the original product with counterfeit product and completes the RTO delivery.
</t>
  </si>
  <si>
    <t>1. Onrecord seller tampers the photographs/or other evidence of the damaged product received from the buyers and claims that product returned by the buyer is free from any damages/deficiencies.</t>
  </si>
  <si>
    <t>Onrecord seller/Inventory seller app</t>
  </si>
  <si>
    <t xml:space="preserve">Marketplace Seller and Inventory Seller app
</t>
  </si>
  <si>
    <t>Onrecord seller/Inventory seller</t>
  </si>
  <si>
    <r>
      <t xml:space="preserve">As per Clause 2.4.1  of Business Rules it states </t>
    </r>
    <r>
      <rPr>
        <i/>
        <sz val="10"/>
        <color theme="1"/>
        <rFont val="Arial Narrow"/>
        <family val="2"/>
      </rPr>
      <t>"The responsibility for onboarding of Sellers and Service Providers made available in the Seller Side App or platform and ensuring the management of the end-to-end order lifecycle will be the sole responsibility of the Seller Side App. This would include, but not be limited to, onboarding, catalogue management, order management, invoicing and reconciliation, logistics, customer support, returns management, payments, refunds and exchanges, which the Seller Side App will manage on its own or in agreement with the Sellers and Service Providers onboarded by the Seller Side App and as provided in the Applicable Law. This may also include warehousing, warranty and inventory management"</t>
    </r>
  </si>
  <si>
    <t>Existing controls/provisions with ONDC</t>
  </si>
  <si>
    <r>
      <rPr>
        <b/>
        <sz val="10"/>
        <color theme="1"/>
        <rFont val="Arial Narrow"/>
        <family val="2"/>
      </rPr>
      <t xml:space="preserve">Possible System Check: </t>
    </r>
    <r>
      <rPr>
        <sz val="10"/>
        <color theme="1"/>
        <rFont val="Arial Narrow"/>
        <family val="2"/>
      </rPr>
      <t>Marketplace app seller to ensure that adequate system checks are in place to ensure bank account related information of the sellers cannot be revised without adequate checks and balances in place.</t>
    </r>
  </si>
  <si>
    <t>same as above</t>
  </si>
  <si>
    <t>Onrecord seller/Inventory sellers</t>
  </si>
  <si>
    <t>On record seller and Inventory Sellers</t>
  </si>
  <si>
    <t>Onrecord seller invoices incorrect product, manipulates the quantity invoiced when compared to the order confirmation shared by the seller app to the buyer application at Confirm API.</t>
  </si>
  <si>
    <t>Logistic Buyer (Onrecord Seller on marketplace)</t>
  </si>
  <si>
    <t xml:space="preserve">Logistics Service Provider </t>
  </si>
  <si>
    <t>Logistics Buyer (a onrecord seller on the marketplace) wants 'immediate delivery' or 'same date delivery'. LSP falsely responds back with an acknowledgement and does not pick up the order from the Logistics Buyers.</t>
  </si>
  <si>
    <t>Logistics Buyer (a retail seller on the marketplace app) fabricates the pay load parameters like unit weight, dimensions of package during putting the fulfillment request to the Logistics Service Providers (LSP) when compared to the payload parameters based on which shipping costs charged from the buyers.</t>
  </si>
  <si>
    <t>Inventory Management and warehousing</t>
  </si>
  <si>
    <t>Count of ONDC specific  fraud scenarios</t>
  </si>
  <si>
    <t>1. NPs related information like PAN,GST, bank account details, PIN location, contact details, shareholding. Director, proprietor information, partnership firm and other statutory details like MSMED certificate, shop establishment number etc recorded as a part of onrecord sellers onboarding by the Marketplace app seller.
2. Transaction data with details of the order, product, product category, buyer address etc recorded by the marketplace seller.</t>
  </si>
  <si>
    <t>1. Buyer information like PAN,  bank account details, IFSC code, PIN location, contact details, in case buyer is not an individual and is a Company, partnership or an entity then GST no, shareholding. Director, proprietor information, partnership firm and other statutory details like MSMED certificate, shop establishment number etc recorded as a part of buyer onboarding by buyer application.
2. Transaction data with details of the order, product, buyer name, product category, buyer address, delivery time, time of order etc recorded by Buyer application.</t>
  </si>
  <si>
    <t>1. Buyer information like PAN,  bank account details, IFSC code, PIN location, contact details, in case buyer is not an individual and is a Company, partnership or an entity then GST no, shareholding. Director, proprietor information, partnership firm and other statutory details like MSMED certificate, shop establishment number etc recorded as a part of buyer onboarding by buyer application.
2. Transaction data with details of the order, product, buyer name, product category, buyer address, delivery time, time of order etc recorded by Buyer application and Marketplace app and/or Inventory Seller apps.</t>
  </si>
  <si>
    <t>1. Buyer information like PAN,  bank account details, IFSC code, PIN location, contact details, GST no, shareholding. Director, proprietor information, partnership firm and other statutory details like MSMED certificate, shop establishment number etc recorded as a part of buyer onboarding by buyer application.
2. Transaction data with details of the order, product, buyer name, product category, buyer address, delivery time, time of order etc recorded by Buyer application and Marketplace app and/or Inventory Seller apps.</t>
  </si>
  <si>
    <t>1. Information with details of the NPs onboarding which shall include but not limited to Network Participant Profile Form with details of the role, domain and category chosen by the NPs. .
2. Transaction data including but not limited to the details of the order, product, buyer name, product category, buyer address, delivery time, time of order, Network Order ID, Network transaction ID recorded by Buyer application and Marketplace app and/or Inventory Seller apps.</t>
  </si>
  <si>
    <t>1. Data of the catalogue and quoted price of products/services shared by seller application with buyer application over the ONDC network. .
2. Transaction data including but not limited to the details of the order, product, buyer name, product category, buyer address, delivery time, time of order, Network Order ID, Network transaction ID recorded by Buyer application and Marketplace app and/or Inventory Seller apps.</t>
  </si>
  <si>
    <t>1. Data of the quoted price with rebate, discounts, coupons etc permitted to determine the order value for the buyer at order confirmation for the products/services shared by seller application with buyer application over the ONDC network. .
2. Transaction data including but not limited to the details of the order, product, buyer name, product category, buyer address, delivery time, time of order, Network Order ID, Network transaction ID recorded by Buyer application and Marketplace app and/or Inventory Seller apps.</t>
  </si>
  <si>
    <t>Transaction data including but not limited to the details of the order, product, buyer name, product category, buyer address, delivery time, time of order, Network Order ID, Network transaction ID, delivery city, delivery time, declared value recorded by Buyer application and Marketplace app and/or Inventory Seller apps..</t>
  </si>
  <si>
    <t>Transaction data including but not limited to the details of the order, product, buyer name, product category, buyer address, delivery time, time of order, Network Order ID, Network transaction ID, delivery city, delivery time, declared value recorded by Buyer application and Marketplace app and/or Inventory Seller apps.</t>
  </si>
  <si>
    <t>Transaction data including but not limited to the details of the order, product, buyer name, product category, buyer address, delivery time, time of order, Network Order ID, Network transaction ID, delivery city, delivery time, declared value recorded by Buyer application and Marketplace app and/or Inventory Seller apps</t>
  </si>
  <si>
    <t>Transaction data including but not limited to the details of the cancelled orders, product, buyer name, product category, buyer address, delivery time, time of order, time of cancellation of orders, Network Order ID, Network transaction ID, confirmation by Logistics partners, RTO generation etc recorded by Buyer application and Marketplace app and/or Inventory Seller apps.</t>
  </si>
  <si>
    <t>1. Data of the catalogue and quoted price of products/services shared by seller application with buyer application over the ONDC network.
2. Information of the customer complaints which shall include not limited to the nature of complaint, description of the complaint around the product, date and time of complaint, photographs/video submitted by the buyer.</t>
  </si>
  <si>
    <t>Transaction data including but not limited to the details of the cancelled orders, product, buyer name, product category, buyer address, delivery time, time of order, time of cancellation of orders, Network Order ID, Network transaction ID, confirmation by Logistics partners, RTO generation etc recorded by Marketplace app sellers.</t>
  </si>
  <si>
    <t>Details of the buyers search over the buyer application including but not limited to orders, product, buyer name, product category, buyer address, delivery time, time of order, time of cancellation of orders, Network Order ID, Network transaction ID etc recorded by all Buyer applications over the ONDC network.</t>
  </si>
  <si>
    <t>Buyer application displays search results to buyers which have not been multicasted by the Gateway on the ONDC network in lieu of personal gains from affiliated and/or non affiliated marketplace seller and inventory seller apps.</t>
  </si>
  <si>
    <t>Details of the buyers search over the buyer application including but not limited to orders, product, buyer name, product category, buyer address, delivery time, time of order, time of cancellation of orders, Network Order ID, Network transaction ID etc recorded by Buyer applications over an outside the ONDC network.</t>
  </si>
  <si>
    <t>1. Information around cache of the catalogue of the seller application by the Buyer application along with the logs for refreshing the cache information
2. Transaction data including but not limited to the details of the orders, product, buyer name, product category, buyer address, delivery time, time of order, time of cancellation of orders, Network Order ID, Network transaction ID, payment details, bank account, etc recorded by Buyer application.</t>
  </si>
  <si>
    <t>1. Transaction data including but not limited to the details of the orders, product, buyer name, product category, buyer address, delivery time, time of order, time of cancellation of orders, Network Order ID, Network transaction ID, payment details, bank account, etc recorded by Marketplace app and/or Inventory Seller apps.
2. Information which shall include but not limited to the description of customer reviews, date and time of reviews, customer information like contact details, email address, order ID etc recorded by the customers for submitting the reviews on the seller and/or buyer applications.</t>
  </si>
  <si>
    <t>1. Transaction data including but not limited to the details of the orders, product, buyer name, product category, buyer address, delivery time, time of order, time of cancellation of orders, Network Order ID, Network transaction ID, payment details, bank account, etc recorded by Marketplace app and/or Inventory Seller apps.
2. Details of the buyers search over the buyer application including but not limited to orders, product, buyer name, product category, buyer address, delivery time, time of order, time of cancellation of orders, Network Order ID, Network transaction ID etc recorded by Buyer applications over an outside the ONDC network.</t>
  </si>
  <si>
    <t xml:space="preserve">Transaction data including but not limited to the details of the orders, product, buyer name, product category, buyer address, delivery time, time of order, time of cancellation of orders, Network Order ID, Network transaction ID, payment details, bank account, etc recorded by Marketplace app and/or Inventory Seller apps.
</t>
  </si>
  <si>
    <t>Customers making purchase payments through credit cards and subsequently cancelling it to gain credit/ bonus points offered by onrecord sellers and/or marketplace and inventory seller app</t>
  </si>
  <si>
    <t>LSP receives a OK product which is claimed damaged by the buyer and return request made to the buyer application. LSP for personal profiteering generates RTO fulfilment initiation by providing cancellation reason and AWB no for a Ok product.</t>
  </si>
  <si>
    <t>Marketplace Seller app
 and Inventory Seller app</t>
  </si>
  <si>
    <t>Buyer and LSP</t>
  </si>
  <si>
    <t>Onrecord seller/Inventory seller tampers the photographs/or other evidence of the damaged product received from the buyers and claims that product returned by the buyer is free from any damages/deficiencies.</t>
  </si>
  <si>
    <t xml:space="preserve">Logistics Service Provider ("LSP") falsely updates 'RTO Delivered' through the required API while he confiscates the products returned by the Buyer. </t>
  </si>
  <si>
    <t>Logistics Service Provider/Employee marketplace seller app</t>
  </si>
  <si>
    <t>Onrecord seller falsely declares incorrect product, product category, SKU, brand etc on the ONDC registry when compared to its actual catalogue. As a result incorrect search results displayed to buyers using ONDC network and can lead to incorrect products ordered.</t>
  </si>
  <si>
    <t>Marketplace sellers does not broadcast all the sellers through the ONDC registry for the products/services searched by Buyers in lieu of excess commission/fees from certain onrecord sellers</t>
  </si>
  <si>
    <t>Marketplace seller app and inventory seller app</t>
  </si>
  <si>
    <t>On record seller/Buyers</t>
  </si>
  <si>
    <t>Onrecord sellers manipulates the inventory quantity/ SKU/ product category/ other product specification in his catalogue and confirms on the ONDC registry (taxonomy) and as a result of which buyers end up ordering incorrect products over the ONDC network.</t>
  </si>
  <si>
    <t xml:space="preserve">On record seller claims that the returned product has not been received and/or fabricates video/image evidences in order to claim that product returned is completely different to the product delivered and now returned by the Buyers. </t>
  </si>
  <si>
    <t>Agents of Logistics Service Providers ("LSP") fabricates the Proof of Delivery ("POD") prior to sharing the POD with the Logistics Buyers (on record sellers) in lieu of claiming incorrect logistics charges specifically under hyperlocal logistics</t>
  </si>
  <si>
    <t>A technology service provider onboards on the ONDC network as a marketplace seller app and registers onrecord sellers (without required due diligences) for revenues from technology platform services provided to onrecord sellers</t>
  </si>
  <si>
    <t xml:space="preserve">Buyer application and  Marketplace seller app
</t>
  </si>
  <si>
    <t>On receipt of complain/whistle blow against the Gateways, ONDC need to investigate the matter and take corrective action to ensure no similar incidents in the future.</t>
  </si>
  <si>
    <t>Type of Audit</t>
  </si>
  <si>
    <t>Frequency</t>
  </si>
  <si>
    <t>Network Participants</t>
  </si>
  <si>
    <t>Large sized</t>
  </si>
  <si>
    <t>Technology Service Providers (Ecosystem Participant)</t>
  </si>
  <si>
    <t>Participants to ONDC's NP i.e onrecord sellers</t>
  </si>
  <si>
    <t>Transactions Audit</t>
  </si>
  <si>
    <t>Responsibility of Audit</t>
  </si>
  <si>
    <t>Reporting</t>
  </si>
  <si>
    <t>Timelines for Audit monitoring to be defined by</t>
  </si>
  <si>
    <t>Adherence to be monitored by</t>
  </si>
  <si>
    <t xml:space="preserve">NP Periodic Audit Monitoring </t>
  </si>
  <si>
    <t>% of ONDC specific scenarios</t>
  </si>
  <si>
    <t>Medium</t>
  </si>
  <si>
    <t>Small</t>
  </si>
  <si>
    <t>Marketplace seller app (including Logistics service provider Technology Service Providers onboarding as Marketplace seller app on ONDC network)</t>
  </si>
  <si>
    <t>Option for Self Audit/declaration</t>
  </si>
  <si>
    <t>Half Yearly</t>
  </si>
  <si>
    <t>Annual</t>
  </si>
  <si>
    <t>Gateway permits a buyer app  to cache catalogue results without knowledge of the Marketplace app and/or Inventory Seller app to gain unfair advantage of a lower latency time when compared to other buyer application on the ONDC network.</t>
  </si>
  <si>
    <t>Fly by night buyer application colludes with a marketplace and/or inventory seller app during annual sale, Diwali time sales when volume of buyers is higher.  Buyer application does not refresh the cached catalogues of Marketplace app and/or Inventory Seller apps which results in order placement by the buyers and dupes the buyers.</t>
  </si>
  <si>
    <t xml:space="preserve">Employee of a marketplace and/or inventory seller app gains unauthorized access and fabricates the bank account number of the onrecord sellers and dupes the onrecord sellers by collecting the receipts from the buyers in a different account wherein buyer collections made by the marketplace and/or inventory seller app. </t>
  </si>
  <si>
    <t xml:space="preserve">Indicative Data Analytics (DA) Routine for NPs
Periodic Audit Checklist defined for NPs
</t>
  </si>
  <si>
    <r>
      <rPr>
        <b/>
        <sz val="10"/>
        <color theme="1"/>
        <rFont val="Arial Narrow"/>
        <family val="2"/>
      </rPr>
      <t xml:space="preserve">Possible System Check: </t>
    </r>
    <r>
      <rPr>
        <sz val="10"/>
        <color theme="1"/>
        <rFont val="Arial Narrow"/>
        <family val="2"/>
      </rPr>
      <t xml:space="preserve">Marketplace app seller to ensure that adequate system checks are in place to ensure cash collected on COD orders are monitored on real time basis so that any discrepancy in cash collections is surfaced at each end of day. </t>
    </r>
  </si>
  <si>
    <t>Marketplace seller app to lay down a policy to ensure that the logistics service provider conducts verification of basic details such as product code, unique identification number etc. to ensure that the correct product is being returned.
Further, the refund shall be processed to the buyer post internal quality control check by the on-record seller/Inventory Seller app after the returned product is received</t>
  </si>
  <si>
    <t xml:space="preserve">Indicative Data Analytics (DA) Routine for NPs
</t>
  </si>
  <si>
    <t>Marketplace seller app and Inventory Seller app</t>
  </si>
  <si>
    <t>On receipt of complain/IGM from set of buyers, investigation is carried out and fraud is identified and future corrective measures taken</t>
  </si>
  <si>
    <t xml:space="preserve">Marketplace seller app and/or inventory seller app
</t>
  </si>
  <si>
    <t>Buyer applications</t>
  </si>
  <si>
    <t>Marketplace seller app/inventory seller app</t>
  </si>
  <si>
    <t>Social media monitoring</t>
  </si>
  <si>
    <t>To be discussed</t>
  </si>
  <si>
    <t>Identified additional obligations not forming part of current NP obligations</t>
  </si>
  <si>
    <t>Tab 6</t>
  </si>
  <si>
    <t>Information Matrix for monitoring</t>
  </si>
  <si>
    <t>Tab 5</t>
  </si>
  <si>
    <t>Data analytics monitoring</t>
  </si>
  <si>
    <t xml:space="preserve">Tab 4 </t>
  </si>
  <si>
    <t xml:space="preserve">Periodic Audit Monitoring </t>
  </si>
  <si>
    <t>Tab 3</t>
  </si>
  <si>
    <t>NP due diligence and background checks</t>
  </si>
  <si>
    <t>Tab 2</t>
  </si>
  <si>
    <t>Fraud scenarios in Orange colour code are discussed and suggested edits made</t>
  </si>
  <si>
    <t xml:space="preserve">Fraud scenarios in Green colour code are not yet discussed
</t>
  </si>
  <si>
    <t>Fraud Risk Universe and monitoring mechanism</t>
  </si>
  <si>
    <t>Tab 1</t>
  </si>
  <si>
    <t>Legend</t>
  </si>
  <si>
    <t>Tab Description</t>
  </si>
  <si>
    <r>
      <t>Fraud prevention methodology</t>
    </r>
    <r>
      <rPr>
        <b/>
        <vertAlign val="superscript"/>
        <sz val="10"/>
        <color rgb="FFFFFFFF"/>
        <rFont val="Arial Narrow"/>
        <family val="2"/>
      </rPr>
      <t>2</t>
    </r>
  </si>
  <si>
    <r>
      <t>Monitoring methodology</t>
    </r>
    <r>
      <rPr>
        <b/>
        <vertAlign val="superscript"/>
        <sz val="10"/>
        <color rgb="FFFFFFFF"/>
        <rFont val="Arial Narrow"/>
        <family val="2"/>
      </rPr>
      <t>3</t>
    </r>
  </si>
  <si>
    <r>
      <t>Reactive methodology</t>
    </r>
    <r>
      <rPr>
        <b/>
        <vertAlign val="superscript"/>
        <sz val="10"/>
        <color rgb="FFFFFFFF"/>
        <rFont val="Arial Narrow"/>
        <family val="2"/>
      </rPr>
      <t>4</t>
    </r>
  </si>
  <si>
    <r>
      <t xml:space="preserve"> Fraud Risk Scenario (High/Medium/
Low)</t>
    </r>
    <r>
      <rPr>
        <b/>
        <vertAlign val="superscript"/>
        <sz val="10"/>
        <color rgb="FFFFFFFF"/>
        <rFont val="Arial Narrow"/>
        <family val="2"/>
      </rPr>
      <t>1</t>
    </r>
  </si>
  <si>
    <t>High Risk shall include fraud scenarios where probability of occurance is high and/or significant reputational loss for ONDC network (ii) Medium Risk shall include fraud scenarios where probability of occurrence is probable (iii) Low Risk shall include fraud scenarios where probability of ocurrence is remote</t>
  </si>
  <si>
    <t>High</t>
  </si>
  <si>
    <t>Low</t>
  </si>
  <si>
    <t>Marketplace Seller
app/Inventory Seller app</t>
  </si>
  <si>
    <t>Marketplace seller app and ONDC</t>
  </si>
  <si>
    <t xml:space="preserve">Marketplace app Seller and ONDC
</t>
  </si>
  <si>
    <t>Sellers on record
Inventory Seller app and Marketplace seller app</t>
  </si>
  <si>
    <t>Sellers on record and Marketplace app and/or Inventory Seller apps</t>
  </si>
  <si>
    <t>2a) On record sellers with history of wrongdoings, corrupt past behaviors uses different identity (i.e. using a new KYC/GST identification) registers afresh with the Marketplace app seller without getting noticed. 
2b) Marketplace app and/or Inventory Seller apps with history of wrongdoings, corrupt past behaviors uses different identity (i.e. using a new KYC/GST identification) registers afresh with ONDC network without getting noticed. 
2c) Fake/ questionable/ disreputable buyer application  registers on the ONDC network and/or buyer application with history of wrongdoings, corrupt behavior registers under a disguised identity on ONDC network.</t>
  </si>
  <si>
    <t>Sellers on record and Marketplace app and/or Inventory Seller apps/ Buyer application</t>
  </si>
  <si>
    <r>
      <t>Small</t>
    </r>
    <r>
      <rPr>
        <vertAlign val="superscript"/>
        <sz val="10"/>
        <color theme="1"/>
        <rFont val="Arial Narrow"/>
        <family val="2"/>
      </rPr>
      <t>1</t>
    </r>
  </si>
  <si>
    <r>
      <t>Medium</t>
    </r>
    <r>
      <rPr>
        <vertAlign val="superscript"/>
        <sz val="10"/>
        <color theme="1"/>
        <rFont val="Arial Narrow"/>
        <family val="2"/>
      </rPr>
      <t>1</t>
    </r>
  </si>
  <si>
    <r>
      <t>Large sized</t>
    </r>
    <r>
      <rPr>
        <vertAlign val="superscript"/>
        <sz val="10"/>
        <color rgb="FF202124"/>
        <rFont val="Arial Narrow"/>
        <family val="2"/>
      </rPr>
      <t>1</t>
    </r>
  </si>
  <si>
    <r>
      <t>Technology Audits</t>
    </r>
    <r>
      <rPr>
        <b/>
        <vertAlign val="superscript"/>
        <sz val="10"/>
        <color theme="0"/>
        <rFont val="Arial Narrow"/>
        <family val="2"/>
      </rPr>
      <t>2</t>
    </r>
  </si>
  <si>
    <r>
      <t>Physical Site/Field Audits</t>
    </r>
    <r>
      <rPr>
        <b/>
        <vertAlign val="superscript"/>
        <sz val="10"/>
        <color theme="0"/>
        <rFont val="Arial Narrow"/>
        <family val="2"/>
      </rPr>
      <t>3</t>
    </r>
  </si>
  <si>
    <t>An Information Technology audit is the examination and evaluation of an organization's information technology infrastructure, applications, data use and management, policies, procedures and operational processes against recognized standards or established policies</t>
  </si>
  <si>
    <t>Field Visits and Physical audits should include discreet enquiries and surprise field visits</t>
  </si>
  <si>
    <t>Generation of Information</t>
  </si>
  <si>
    <t>Custodian of Information</t>
  </si>
  <si>
    <t>1c</t>
  </si>
  <si>
    <t>2c</t>
  </si>
  <si>
    <t>4a</t>
  </si>
  <si>
    <t>4b</t>
  </si>
  <si>
    <t>4c</t>
  </si>
  <si>
    <t>Indicative Information availability matrix</t>
  </si>
  <si>
    <t>Marketplace app seller and Buyer application</t>
  </si>
  <si>
    <t>1. Search data multicasted by the Gateway wherein catalogue shared by the Marketplace app and/or Inventory Seller app. .
2. Transaction data including but not limited to the details of the order, product, buyer name, product category, buyer address, delivery time, time of order, Network Order ID, Network transaction ID recorded by Buyer application and Marketplace app and/or Inventory Seller apps.
3. Details of the algorithms, logics used by Buyer application for filtering search results to the buyers .</t>
  </si>
  <si>
    <r>
      <t>As per Clause 2.3.4 clause (j) of Business Rules it states "</t>
    </r>
    <r>
      <rPr>
        <i/>
        <sz val="10"/>
        <color theme="1"/>
        <rFont val="Arial Narrow"/>
        <family val="2"/>
      </rPr>
      <t>...all entities operating Buyer Side Apps in ONDC Network, who also operate a Marketplace app e-commerce entity in India outside the ONDC Network must participate in the ONDC Network as a Seller Side App and shall make their existing catalogue available on a non-discriminatory basi</t>
    </r>
    <r>
      <rPr>
        <sz val="10"/>
        <color theme="1"/>
        <rFont val="Arial Narrow"/>
        <family val="2"/>
      </rPr>
      <t>s" and 
As per Clause 2.3.3 clause (i) point (b) of Business Rules it states "that the Buyer Side App may  provide filter functionality however they shall apply the same consistently without providing any unfair advantage to any seller outside or in the ONDC Network"</t>
    </r>
  </si>
  <si>
    <t xml:space="preserve">11a) Existing e-commerce entity registering on the ONDC network as a Marketplace app seller and Buyer application. As a Marketplace app seller it discriminates with the buyers on the ONDC network by not showing the full catalogue of products/services.
11b) Further as a Buyer side application it uses discriminatory filtering methods to show its own Marketplace app seller as the top search result to the buyers in order to attract buyers. </t>
  </si>
  <si>
    <t>12a) Existing e-commerce entity registering on the ONDC network as Buyer application who also operate a Marketplace e-commerce entity in India or outside the ONDC network- It discriminates with the buyers on the ONDC network by offering same products/services at higher price when compared to prices offered to buyers outside ONDC network. (specifically in products/services where limited onrecord sellers exists).
12b) Further It uses discriminatory methods to offer favorable terms &amp; conditions for e.g. favorable shipping, warranty etc to buyers on its own buyer side application outside ONDC network. (specifically in products/services where limited onrecord sellers exists).
12c) Further It offers higher discounts/coupons to buyers outside ONDC network when compared to discounts/coupons offered to buyers on ONDC network. (specifically in products/services where limited onrecord sellers exists).</t>
  </si>
  <si>
    <t xml:space="preserve">Indicative Data Analytics (DA) Routine for NPs
Periodic Audit Checklist defined for NPs
</t>
  </si>
  <si>
    <t>20a) Gateways provided low latency and higher uptime to affiliated buyer side apps when compared to other non-affiliated buyers apps while multicasting the search results to the buyers.
20b) Gateways provided low latency and higher uptime to  buyer side apps when compared to other buyers apps while multicasting the search results to the buyers in return of higher fee.</t>
  </si>
  <si>
    <t>Onrecord sellers getting fake reviews on their products and/or services given by unverified customers to whom goods have not been actually sold on the Marketplace app seller application and/or inventory seller app. Further onrecord seller indulges in taking paid review/rating of a product by indulging in fake sales to a known customer.</t>
  </si>
  <si>
    <t>Onrecord sellers
Inventory Seller apps</t>
  </si>
  <si>
    <t xml:space="preserve">Onrecord seller provides incorrect information with respect to product, product category, brand, minimum lot size, quantity available to the seller application at confirm stage. Based on which buyer confirms through the buyer application at confirm API. Subsequently onrecord seller fabricates the invoices and/or created a duplicate invoice and issues to the buyer. </t>
  </si>
  <si>
    <t>Catalogue Management</t>
  </si>
  <si>
    <t>Data analytics can be used on the response information recorded with the seller application in order to identify possible discrimanatory practices (if any) including but not limited to the following: 
a. different catalogue to its affiliated buyer app, 
b. offering same products/services at higher price when compared to prices offered to buyers outside ONDC network.
c.  to offer favorable terms &amp; conditions for e.g. favorable shipping, warranty etc to buyers on its own buyer side application outside ONDC network
d. offers higher discounts/coupons to buyers outside ONDC network when compared to discounts/coupons offered to buyers on ONDC network.</t>
  </si>
  <si>
    <t xml:space="preserve">Buyer application colludes with an Inventory Seller app and/or Marketplace seller app and broadcasts search results of products/service even though onrecord sellers and/or Inventory Sellers did not provide/falsely provided certain regulatory information (for e.g. food being approved by FSSAI) in return of personal gains.
</t>
  </si>
  <si>
    <t xml:space="preserve">Periodic Audit Checklist defined for NPs
</t>
  </si>
  <si>
    <t xml:space="preserve">Data Analytics (DA) tools can be used to identify outliers with respect to declared prices offered by seller on record and/or Inventory Seller apps for different product/ product category higher than MRP </t>
  </si>
  <si>
    <t>Price declared by the on record seller/and or Inventory Seller app for a regulated product exceeds the Maximum Retail Price for the reported product/product category  in order to get higher product prices over the marketplace seller app from genuine buyers</t>
  </si>
  <si>
    <t>Data Analytics (DA) tools can be used to identify outliers with respect to cancelled orders specific to on record sellers in order to identify trends of cancellations between set of onrecord sellers and set of buyers for non MRP regulated products and services</t>
  </si>
  <si>
    <t>Analytics on the search multicasted data generated with the Gateways to identify possible outliers with respect to lower latency and higher uptime for any particular set of buyer application/affiliated buyer application</t>
  </si>
  <si>
    <t>Data analytics can be used on the search information recorded with the buyer application in order to identify possible discrimanatory practices (if any) including but not limited to the following: 
a. filtering methods to show its affiliated Marketplace app seller as the top search result
b. set of affiliated marketplace seller apps shown as top results.
c. Fabicated buyer ratings/and or favourtism in rating given to affiliated marketplace seller app</t>
  </si>
  <si>
    <t xml:space="preserve">Analytics on the search multicasted data generated with the Gateways to identify any instances where search results shared with marketplace seller app which are not registered on the ONDC registry. </t>
  </si>
  <si>
    <t>Data analytics to be performed on transactional level data recorded with the buyer application on the ONDC network to to identify instances wherein discrimanatory finder fees charged by the buyer application.</t>
  </si>
  <si>
    <t>Data Analytics (DA) tools can be used to identify outliers like Time to Live (TTL) not adhered, buyer orders placed on the cache information from the logs generated from the refreshing of the cached information available with the Buyer application</t>
  </si>
  <si>
    <t>Data analytics to be performed on transactional level data to identify instances wherein reviews have been provided by individuals other than the buyer of a particular transaction, other checks to assess the genuinity of the reviews</t>
  </si>
  <si>
    <t xml:space="preserve">Data analytics on the invoice related information with onrecord sellers to identity outliers like Duplicate Invoices generated by onrecord sellers and/or inventory seller app (ii) Suspicious Invoice/(s)  generated by onrecord sellers and/or inventory seller app (iii) Invoice numbers sequence anomalies for the invoices generated by onrecord sellers and/or inventory seller app </t>
  </si>
  <si>
    <t>Data analytics to be performed on transactional level data for order cancellation for onrecord sellers also providing logistics services to identify trends of order cancelations happening after stipulated time from order placement as a result of which onrecord seller becomes eligible for logistics fees payouts from buyer applications.</t>
  </si>
  <si>
    <t>Data analytics on the invoice related information with onrecord sellers to identity outliers like incorrect product, manipulatedquantity invoiced when compared to the order confirmation shared by the seller app to the buyer application at Confirm API.</t>
  </si>
  <si>
    <t>Categorization of a NP as a large and medium/small player can be based on pre determined thresholds by ONDC and marketplace seller app of i) turnover ii) scale of operations iii) Nature of services and products (iv) whether Listed public limited company (v) Nature and Quantum of complaints against NPs through the IGM process</t>
  </si>
  <si>
    <t>ONDC Comments till now</t>
  </si>
  <si>
    <t>Buyer application does not display the response results of certain onrecord sellers offering lower prices for products/services and/or only displays the onrecord sellers offering higher prices for products/services to the Buyers, transacting over the ONDC network.</t>
  </si>
  <si>
    <t xml:space="preserve">Periodic Audit Checklist defined for NPs
Indicative Data Analytics (DA) Routine for NPs
</t>
  </si>
  <si>
    <t>Data analytics on the IGM database to identify trends with respect to certain onrecord sellers where buyers have logded complaints, identifying the nature of complaint, product category, product type, pricing etc to examine whether damaged, inferior, unbranded products delivered when compared to the products/services for which orders placed by the buyers</t>
  </si>
  <si>
    <t xml:space="preserve">23a) Sellers on record and/or Inventory Seller apps misrepresents the brand and quality of the products/services at ordering stage on the ONDC network and during fulfillment of the order uses sub-standard and/or poor, inadequate quality.
23b) Sellers on record and/or Inventory Seller apps misrepresents the description of the products/services at ordering stage on the ONDC network and during fulfillment of the order uses damaged products. 
23c) Sellers on record and/or Inventory Seller apps misrepresents the description of the products/services at ordering stage on the ONDC network and during fulfillment of the order uses ingenuine, counterfeit,  look alike, non-branded products. </t>
  </si>
  <si>
    <t xml:space="preserve">Data analytics performed on the transaction data generated for order fulfillment by onrecord sellers to identify the actual performance criterias and subsequent examination of these reported criteria to identify trends with respect to certain onrecord sellers not meeting these criterias. </t>
  </si>
  <si>
    <t xml:space="preserve">Data analytics performed on Internal Grievance Mechanism database to identify trends with respect to certain onrecord sellers defaulting the defined set of performance criterias, whether it is pertaining to specific product, product category, services etc. </t>
  </si>
  <si>
    <t>Data analytics can be performed on the order settlement information like credit card/debit card information, IP from which payments made, order time/date, buyer location, buyer captured with marketplace and/or inventory seller app to identfy outliers with respect to same card details used for payments by multiple buyers at different location, using  different IP's, set of buyers using multiple card details etc.</t>
  </si>
  <si>
    <t>Data analytics can be performed on the system logs generated with buyer application to identify revisions in the buyer PIN code, shipping location from search API to confirm API in order identify outliers in revisions made to the buyer PIN code and shipping location.</t>
  </si>
  <si>
    <t>Data analytics can be performed on the transactions data with respect to the Logistics orders placed by onrecord sellers (Logistics Buyers) registered on marketplace seller apps to identify outliers with respect to trends showing certain onrecord seller</t>
  </si>
  <si>
    <t>a. LSP colludes with the buyers to pass off a ingenuine product return request as genuine by fabricating the evidence taken to prove the packing, tags etc issues in lieu of personal gains from the buyers.
b. Agent of LP receives the original product where missing original tags concern raised by the buyer and confiscate the product for personal gains. Further replaces the original product with counterfeit product and completes the RTO delivery.</t>
  </si>
  <si>
    <r>
      <rPr>
        <b/>
        <sz val="10"/>
        <color theme="1"/>
        <rFont val="Arial Narrow"/>
        <family val="2"/>
      </rPr>
      <t>Return Logistics-</t>
    </r>
    <r>
      <rPr>
        <sz val="10"/>
        <color theme="1"/>
        <rFont val="Arial Narrow"/>
        <family val="2"/>
      </rPr>
      <t xml:space="preserve"> Where logistics arrangement is between LSP and Marketplace seller app  and Logistics arrangement between LSP and Buyer- Logistics Buyer/ Marketplace seller app puts fulfillment start location (i.e. pickup site). LSP falsely responds back with an acknowledgement even when above location is not serviceable and thus does not pick up the order from the Logistics Buyers after the logistics order was paid for by buyer /marketplace seller app.</t>
    </r>
  </si>
  <si>
    <t>Agents of Logistics Service Providers ("LSP") confiscates fully/partly the receipts for the cash on delivery (COD) orders and does not remit the proceeds to the Logistics Buyer (i.e. marketplace seller app) specifically in hyperlocal logistics</t>
  </si>
  <si>
    <t>Internal Grievance Management (IGM) database.</t>
  </si>
  <si>
    <t>Logistics Service Provider/Marketplace seller app</t>
  </si>
  <si>
    <r>
      <rPr>
        <b/>
        <sz val="10"/>
        <color theme="1"/>
        <rFont val="Arial Narrow"/>
        <family val="2"/>
      </rPr>
      <t>Return Logistics</t>
    </r>
    <r>
      <rPr>
        <sz val="10"/>
        <color theme="1"/>
        <rFont val="Arial Narrow"/>
        <family val="2"/>
      </rPr>
      <t xml:space="preserve">- Where logistics arrangement is between LSP and Marketplace seller app: Logistics service provider ("LSP") acknowledges the RTO fulfillment order initiated by Logistic Buyer (i.e. marketplace seller app) and falsely inputs the RTO fulfillment start/end date/time to show completion of RTO fulfillment order while physically does not pickup the products returned by the buyers. </t>
    </r>
  </si>
  <si>
    <r>
      <rPr>
        <b/>
        <sz val="10"/>
        <color theme="1"/>
        <rFont val="Arial Narrow"/>
        <family val="2"/>
      </rPr>
      <t>For onward Logistics</t>
    </r>
    <r>
      <rPr>
        <sz val="10"/>
        <color theme="1"/>
        <rFont val="Arial Narrow"/>
        <family val="2"/>
      </rPr>
      <t xml:space="preserve">- Where logistics arrangement is between LSP and Marketplace seller app- LSP falsefully declares services in certain PIN to marketplace seller app. Subsequently fabricates the Proof of Delivery and shows delivery to buyer to earn logistics payout from marketplace seller app. </t>
    </r>
  </si>
  <si>
    <r>
      <rPr>
        <b/>
        <sz val="10"/>
        <color theme="1"/>
        <rFont val="Arial Narrow"/>
        <family val="2"/>
      </rPr>
      <t>For onward Logistics-</t>
    </r>
    <r>
      <rPr>
        <sz val="10"/>
        <color theme="1"/>
        <rFont val="Arial Narrow"/>
        <family val="2"/>
      </rPr>
      <t xml:space="preserve"> Where logistics arrangement is between LSP and Marketplace seller app- LSP colludes with onrecord seller to charge excess weight/ additional quantity of boxes to be delivered to the buyers and accordingly charges logistics payout for the excess weight/additional quantity from marketplace seller app/buyer and shares the proceeds within himself and onrecord seller</t>
    </r>
  </si>
  <si>
    <r>
      <rPr>
        <b/>
        <sz val="10"/>
        <color theme="1"/>
        <rFont val="Arial Narrow"/>
        <family val="2"/>
      </rPr>
      <t>For onward and Return Logistics-</t>
    </r>
    <r>
      <rPr>
        <sz val="10"/>
        <color theme="1"/>
        <rFont val="Arial Narrow"/>
        <family val="2"/>
      </rPr>
      <t xml:space="preserve"> Where logistics arrangement is between LSP and Marketplace seller app  and Logistics arrangement between LSP and Buyer: LSP falsely represents guaranteed delivery timeline, mode of delivery and premium delivery services. However does not fulfill the Logistics Order raised by the Buyers as per the terms and conditions defined.</t>
    </r>
  </si>
  <si>
    <r>
      <rPr>
        <b/>
        <sz val="10"/>
        <color theme="1"/>
        <rFont val="Arial Narrow"/>
        <family val="2"/>
      </rPr>
      <t xml:space="preserve">For onward and Return Logistics- </t>
    </r>
    <r>
      <rPr>
        <sz val="10"/>
        <color theme="1"/>
        <rFont val="Arial Narrow"/>
        <family val="2"/>
      </rPr>
      <t>Fly by night Logistics Service Providers register themselves on a marketplace seller application. Such LSP's offer low delivery costs and attracts buyers on a buyer application and gets bulk orders and dupes buyers for the monies paid.</t>
    </r>
  </si>
  <si>
    <t>Order no associated with buyer ID</t>
  </si>
  <si>
    <r>
      <rPr>
        <b/>
        <sz val="10"/>
        <color theme="1"/>
        <rFont val="Arial Narrow"/>
        <family val="2"/>
      </rPr>
      <t>Onward Logistics</t>
    </r>
    <r>
      <rPr>
        <sz val="10"/>
        <color theme="1"/>
        <rFont val="Arial Narrow"/>
        <family val="2"/>
      </rPr>
      <t>- Where logistics arrangement is between LSP and Marketplace seller app: Acquaintances of LSP place fake orders on the buyer application and subsequently cancels (after stipulated time from order placement) after pick up made by LSP. As a result of which LSP earns logistics payout from buyer applications.</t>
    </r>
  </si>
  <si>
    <t xml:space="preserve">1a) Fake/ questionable/ disreputable seller /fly by night operators registering/onboarded with Market place Seller app as onrecord sellers.
1b) Fake/ questionable/ disreputable seller using a technology platform registers as a Inventory Seller app App on the ONDC network. 
1c) Fake/ questionable/ disreputable registers as a Marketplace app Seller App on the ONDC network. </t>
  </si>
  <si>
    <t xml:space="preserve">Onboarding of 
i) onrecord sellers, 
ii)  Inventory seller app, iii) marketplace seller app </t>
  </si>
  <si>
    <t>Onboarding of 
i) onrecord sellers, 
ii)  Inventory seller app, iii) marketplace seller app and iv) buyer application</t>
  </si>
  <si>
    <t>Marketplace Seller
app, Inventory Seller app and Buyer application</t>
  </si>
  <si>
    <t>On record sellers affiliated with set of buyers transacting over the ONDC network defines inflated pricing of  regulated products/services higher than the Maximum Retail Price in order to siphon funds over the marketplace seller app on the ONDC network.</t>
  </si>
  <si>
    <t>Buyers search information on the buyer side app leaked and/or sold by Gateways for personal profiteering/personal gains</t>
  </si>
  <si>
    <t>How is non performance defined?
Would this require the buyer to have raised an issue?
What if the buyers have not raised any issues? 
Would ONDC be "policing" the NP? Should ONDC?</t>
  </si>
  <si>
    <r>
      <rPr>
        <b/>
        <sz val="10"/>
        <color theme="1"/>
        <rFont val="Arial Narrow"/>
        <family val="2"/>
      </rPr>
      <t xml:space="preserve">Onward Logistics- </t>
    </r>
    <r>
      <rPr>
        <sz val="10"/>
        <color theme="1"/>
        <rFont val="Arial Narrow"/>
        <family val="2"/>
      </rPr>
      <t>Where logistics arrangement is between LSP and Marketplace seller app- Acquaintances of LSP places orders as buyers on the buyer application and payment mode selected is</t>
    </r>
    <r>
      <rPr>
        <b/>
        <sz val="10"/>
        <color theme="1"/>
        <rFont val="Arial Narrow"/>
        <family val="2"/>
      </rPr>
      <t xml:space="preserve"> COD</t>
    </r>
    <r>
      <rPr>
        <sz val="10"/>
        <color theme="1"/>
        <rFont val="Arial Narrow"/>
        <family val="2"/>
      </rPr>
      <t xml:space="preserve">. LSP shows delivery attempt and select while the above buyer does not accept delivery. As a result Logistics Partner (LP) earns payout from marketplace seller application.
</t>
    </r>
    <r>
      <rPr>
        <b/>
        <sz val="10"/>
        <color theme="1"/>
        <rFont val="Arial Narrow"/>
        <family val="2"/>
      </rPr>
      <t>For return Logistics:</t>
    </r>
    <r>
      <rPr>
        <sz val="10"/>
        <color theme="1"/>
        <rFont val="Arial Narrow"/>
        <family val="2"/>
      </rPr>
      <t xml:space="preserve"> LSP fulfills the RTO fulfillment order made by marketplace seller app and earns the delivery fee for return of good to the origin. </t>
    </r>
  </si>
  <si>
    <r>
      <rPr>
        <b/>
        <sz val="10"/>
        <color theme="1"/>
        <rFont val="Arial Narrow"/>
        <family val="2"/>
      </rPr>
      <t>Onward logistics-</t>
    </r>
    <r>
      <rPr>
        <sz val="10"/>
        <color theme="1"/>
        <rFont val="Arial Narrow"/>
        <family val="2"/>
      </rPr>
      <t xml:space="preserve"> Where logistics arrangement is between LSP and Marketplace seller app- Acquaintances of LSP places orders on  the buyer application. LSP shows delivery attempt without physical delivery and earns logistics fee from marketplace seller app. 
</t>
    </r>
    <r>
      <rPr>
        <b/>
        <sz val="10"/>
        <color theme="1"/>
        <rFont val="Arial Narrow"/>
        <family val="2"/>
      </rPr>
      <t xml:space="preserve">Return Logistics: </t>
    </r>
    <r>
      <rPr>
        <sz val="10"/>
        <color theme="1"/>
        <rFont val="Arial Narrow"/>
        <family val="2"/>
      </rPr>
      <t xml:space="preserve">Fake acquainted buyer cancels the order and LSP fulfills the RTO order in order to earn the return logistics fees without any physical movement of return. </t>
    </r>
  </si>
  <si>
    <r>
      <rPr>
        <b/>
        <sz val="10"/>
        <color theme="1"/>
        <rFont val="Arial Narrow"/>
        <family val="2"/>
      </rPr>
      <t xml:space="preserve">For onward and return logistics: </t>
    </r>
    <r>
      <rPr>
        <sz val="10"/>
        <color theme="1"/>
        <rFont val="Arial Narrow"/>
        <family val="2"/>
      </rPr>
      <t>Affiliated/connected entities get registered as onrecord seller, buyer and LSP over buyer and marketplace seller app using ONDC network. Affiliated/connected buyers place orders to connected/affiliated onrecord sellers at inflated price and in turn affiliated/connected Buyers use affiliated Logistics Service Providers to place fake shipping orders. Thus leading to ONDC network used for placing fake orders, fake onward/return shipping orders in order to siphon funds.</t>
    </r>
  </si>
  <si>
    <t>Logistics Service Provider/ Logistics Buyers</t>
  </si>
  <si>
    <t xml:space="preserve">Indicative Data Analytics (DA) Routine for NPs
Discreet Enquires   to be conducted at a defined periodicity
</t>
  </si>
  <si>
    <t>Logistics service provider ("LSP") colludes with the buyer and generates a Return to Origin ("RTO") fulfilment order stating return/cancellation reason as defective/counterfeit (fake)/used product even though an original product was delivered to the Buyer.</t>
  </si>
  <si>
    <t>Collusion between a logistic service provider and Employee of a marketplace seller app as a result of which address/area code/building mentioned by the buyer on the buyer app is manipulated. This leads to RTO fulfillment order for the LSP at incorrect address and LSP fulfils 'RTO Delivery' stating address not found.</t>
  </si>
  <si>
    <r>
      <rPr>
        <b/>
        <sz val="10"/>
        <color theme="1"/>
        <rFont val="Arial Narrow"/>
        <family val="2"/>
      </rPr>
      <t>Return Logistics-</t>
    </r>
    <r>
      <rPr>
        <sz val="10"/>
        <color theme="1"/>
        <rFont val="Arial Narrow"/>
        <family val="2"/>
      </rPr>
      <t xml:space="preserve"> Where logistics arrangement is between LSP and Marketplace seller app: Employee of a marketplace seller app manipulates the relevant information like Logistics provider, image of products to be returned in a RTO fulfillment order. This leads to RTO fulfillment order by impersonated LSP and return products are confiscated/stolen and sold in the open market and proceeds are distributed between the perpetrators.</t>
    </r>
  </si>
  <si>
    <r>
      <rPr>
        <b/>
        <sz val="10"/>
        <color theme="1"/>
        <rFont val="Arial Narrow"/>
        <family val="2"/>
      </rPr>
      <t>Return Logistics</t>
    </r>
    <r>
      <rPr>
        <sz val="10"/>
        <color theme="1"/>
        <rFont val="Arial Narrow"/>
        <family val="2"/>
      </rPr>
      <t xml:space="preserve">- Where logistics arrangement is between LSP and Marketplace seller app Logistics Service Provider ("LSP") affiliated with marketplace seller app ( herein called Logistics Buyer), marketplace seller app puts fake/bogus RTO Fulfillment orders against which LSP shows RTO delivery in order to attract genuine logistics service buyers on the marketplace seller app. </t>
    </r>
  </si>
  <si>
    <r>
      <rPr>
        <b/>
        <sz val="10"/>
        <color theme="1"/>
        <rFont val="Arial Narrow"/>
        <family val="2"/>
      </rPr>
      <t>Possible System Check:</t>
    </r>
    <r>
      <rPr>
        <sz val="10"/>
        <color theme="1"/>
        <rFont val="Arial Narrow"/>
        <family val="2"/>
      </rPr>
      <t xml:space="preserve"> Marketplace app Seller can define a policy and build system controls to ensure that no change can be made in reviews provided by the buyer.</t>
    </r>
  </si>
  <si>
    <t>Response information broadcasted by the marketplace seller app and/or inventory application with details of sellers, products, buyers searches, buyer location etc leaked and/or sold by marketplace seller app and/or inventory seller app  personal profiteering/personal gains</t>
  </si>
  <si>
    <t>Search information broadcasted by the buyer app with details of buyers searches, buyer location/ buyer information, order detailed  etc leaked and/or sold by Buyer app for personal profiteering/personal gains</t>
  </si>
  <si>
    <r>
      <rPr>
        <b/>
        <sz val="10"/>
        <color theme="1"/>
        <rFont val="Arial Narrow"/>
        <family val="2"/>
      </rPr>
      <t>For onward Logistics</t>
    </r>
    <r>
      <rPr>
        <sz val="10"/>
        <color theme="1"/>
        <rFont val="Arial Narrow"/>
        <family val="2"/>
      </rPr>
      <t>- Where logistics arrangement is between LSP and Marketplace seller app- LSP declares Full Truck Load (FTL) to the marketplace seller app while without disclosing uses Part Truck Load (PTL) for order fulfillment and charges for FTL from the marketplace seller app.</t>
    </r>
  </si>
  <si>
    <t>Logistics Service Provider and Onrecord seller</t>
  </si>
  <si>
    <t>High Risk shall include fraud scenarios where probability of occurrence is high and/or significant reputational loss for ONDC network (ii) Medium Risk shall include fraud scenarios where probability of occurrence is probable (iii) Low Risk shall include fraud scenarios where probability of occurrence is remote</t>
  </si>
  <si>
    <r>
      <rPr>
        <b/>
        <sz val="10"/>
        <color theme="1"/>
        <rFont val="Arial Narrow"/>
        <family val="2"/>
      </rPr>
      <t>Possible System Check</t>
    </r>
    <r>
      <rPr>
        <sz val="10"/>
        <color theme="1"/>
        <rFont val="Arial Narrow"/>
        <family val="2"/>
      </rPr>
      <t>: Marketplace app sellers should maintain real-time record of all on record sellers with past corrupt, fraudulent behaviors which shall be verified during onrecord seller onboarding. This would prohibit such identified sellers to register through validation of seller address, location, operation, KYC, GST identification.
Similarly ONDC should maintain real-time record of all NP's with past corrupt, fraudulent behaviors which shall be verified during NP onboarding journey. This would prohinit such identified NPs to register through validation of seller address, location, operation, KYC, GST identification.</t>
    </r>
  </si>
  <si>
    <t>1. Indicative Data Analytics (DA) Routine for NPs
2. Periodic Audit Checklist defined for NPs</t>
  </si>
  <si>
    <t xml:space="preserve">Marketplace seller app and ONDC </t>
  </si>
  <si>
    <t>Onboarding of onrecord sellers</t>
  </si>
  <si>
    <t>On record sellers using forged/manipulated KYC,GST, other statutory information documents to get registered with the Marketplace app seller without getting noticed.</t>
  </si>
  <si>
    <t>1. Indicative Data Analytics (DA) Routine for NPs</t>
  </si>
  <si>
    <t>Onboarding of Buyers on the Buyer application</t>
  </si>
  <si>
    <t>Analytics can be run on the buyer information which shall include but not limited to KYC, bank account, address, IP used for ordering, contact number and transactions information with the Buyer application to ascertain outliers like same buyer or certain set of buyers performing malpractices on the buyer application.</t>
  </si>
  <si>
    <t>Analytics can be run on the onrecord seller information which shall include but not limited to KYC, bank account, address, statutory information, IP used for order fulfillment, contact number and transactions information with the Marketplace seller application to ascertain outliers with respect to certain onrecord seller and/or group of onrecord sellers performing malpractices on the marketplace seller application.</t>
  </si>
  <si>
    <t>Responsibility to run the routines</t>
  </si>
  <si>
    <t>5a) On record seller fakes identity by using forged/incorrect KYC and personifies as a buyer on the Buyer application in order to generate fake orders and attract genuine buyers
5b) Marketplace app and/or Inventory Seller app fakes identity by using forged/incorrect KYC and personifies as a buyer on the Buyer application in order to generate fake orders for certain set of favoured onrecord sellers and in order to attract genuine buyers for such identified onrecord sellers.
5c) Inventory Seller app fakes identity by using forged/incorrect KYC and personifies as a buyer on the Buyer application in order to generate fake orders for its inventory sellers and in order to attract genuine buyers for such identified inventory seller.</t>
  </si>
  <si>
    <t>Seller on record</t>
  </si>
  <si>
    <r>
      <t xml:space="preserve">On record seller with repeated non adherence (beyond tolerance) to the </t>
    </r>
    <r>
      <rPr>
        <b/>
        <sz val="10"/>
        <color theme="1"/>
        <rFont val="Arial Narrow"/>
        <family val="2"/>
      </rPr>
      <t>performance criteria</t>
    </r>
    <r>
      <rPr>
        <sz val="10"/>
        <color theme="1"/>
        <rFont val="Arial Narrow"/>
        <family val="2"/>
      </rPr>
      <t xml:space="preserve"> like adherence to defined delivery timeline, other performance criteria which affects the health of ONDC network during fulfillment of the orders going unnoticed without any disciplinary action initiated against it by marketplace seller.</t>
    </r>
  </si>
  <si>
    <t>Status as on 261222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</si>
</sst>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Calibri"/>
      <family val="2"/>
      <scheme val="minor"/>
    </font>
    <font>
      <sz val="9"/>
      <color theme="1"/>
      <name val="Arial Narrow"/>
      <family val="2"/>
    </font>
    <font>
      <b/>
      <i/>
      <sz val="9"/>
      <color theme="1"/>
      <name val="Arial Narrow"/>
      <family val="2"/>
    </font>
    <font>
      <b/>
      <sz val="10"/>
      <color rgb="FFFFFFFF"/>
      <name val="Arial Narrow"/>
      <family val="2"/>
    </font>
    <font>
      <sz val="10"/>
      <color theme="1"/>
      <name val="Arial Narrow"/>
      <family val="2"/>
    </font>
    <font>
      <sz val="10"/>
      <name val="Arial Narrow"/>
      <family val="2"/>
    </font>
    <font>
      <i/>
      <sz val="10"/>
      <color theme="1"/>
      <name val="Arial Narrow"/>
      <family val="2"/>
    </font>
    <font>
      <b/>
      <sz val="12"/>
      <name val="Arial Narrow"/>
      <family val="2"/>
    </font>
    <font>
      <sz val="12"/>
      <name val="Arial Narrow"/>
      <family val="2"/>
    </font>
    <font>
      <b/>
      <sz val="10"/>
      <name val="Arial Narrow"/>
      <family val="2"/>
    </font>
    <font>
      <b/>
      <sz val="10"/>
      <color theme="1"/>
      <name val="Arial Narrow"/>
      <family val="2"/>
    </font>
    <font>
      <b/>
      <u/>
      <sz val="12"/>
      <name val="Arial Narrow"/>
      <family val="2"/>
    </font>
    <font>
      <b/>
      <vertAlign val="superscript"/>
      <sz val="10"/>
      <color rgb="FFFFFFFF"/>
      <name val="Arial Narrow"/>
      <family val="2"/>
    </font>
    <font>
      <i/>
      <sz val="9"/>
      <color theme="1"/>
      <name val="Arial Narrow"/>
      <family val="2"/>
    </font>
    <font>
      <b/>
      <sz val="9"/>
      <color theme="1"/>
      <name val="Arial Narrow"/>
      <family val="2"/>
    </font>
    <font>
      <b/>
      <i/>
      <sz val="10"/>
      <color theme="1"/>
      <name val="Arial Narrow"/>
      <family val="2"/>
    </font>
    <font>
      <b/>
      <sz val="11"/>
      <color theme="1"/>
      <name val="Calibri"/>
      <family val="2"/>
      <scheme val="minor"/>
    </font>
    <font>
      <b/>
      <sz val="11"/>
      <color theme="1"/>
      <name val="Georgia"/>
      <family val="1"/>
    </font>
    <font>
      <sz val="11"/>
      <color theme="1"/>
      <name val="Georgia"/>
      <family val="1"/>
    </font>
    <font>
      <i/>
      <sz val="10"/>
      <name val="Arial Narrow"/>
      <family val="2"/>
    </font>
    <font>
      <b/>
      <sz val="10"/>
      <color theme="0"/>
      <name val="Arial Narrow"/>
      <family val="2"/>
    </font>
    <font>
      <b/>
      <u/>
      <sz val="11"/>
      <color theme="1"/>
      <name val="Arial Narrow"/>
      <family val="2"/>
    </font>
    <font>
      <b/>
      <u/>
      <sz val="10"/>
      <color theme="1"/>
      <name val="Arial Narrow"/>
      <family val="2"/>
    </font>
    <font>
      <sz val="10"/>
      <color rgb="FF202124"/>
      <name val="Arial Narrow"/>
      <family val="2"/>
    </font>
    <font>
      <sz val="10"/>
      <color theme="1"/>
      <name val="Georgia"/>
      <family val="1"/>
    </font>
    <font>
      <i/>
      <sz val="9"/>
      <color theme="1"/>
      <name val="Georgia"/>
      <family val="1"/>
    </font>
    <font>
      <sz val="10"/>
      <color theme="1"/>
      <name val="Webdings"/>
      <family val="1"/>
      <charset val="2"/>
    </font>
    <font>
      <b/>
      <u/>
      <sz val="10"/>
      <color theme="1"/>
      <name val="Georgia"/>
      <family val="1"/>
    </font>
    <font>
      <sz val="10"/>
      <color theme="0"/>
      <name val="Arial Narrow"/>
      <family val="2"/>
    </font>
    <font>
      <u/>
      <sz val="11"/>
      <color theme="10"/>
      <name val="Calibri"/>
      <family val="2"/>
      <scheme val="minor"/>
    </font>
    <font>
      <sz val="10.5"/>
      <color rgb="FF000000"/>
      <name val="Webdings"/>
      <family val="1"/>
      <charset val="2"/>
    </font>
    <font>
      <u/>
      <sz val="10"/>
      <name val="Arial Narrow"/>
      <family val="2"/>
    </font>
    <font>
      <sz val="11"/>
      <color theme="1"/>
      <name val="Calibri"/>
      <family val="2"/>
      <scheme val="minor"/>
    </font>
    <font>
      <sz val="11"/>
      <color theme="1"/>
      <name val="Arial Narrow"/>
      <family val="2"/>
    </font>
    <font>
      <sz val="11"/>
      <name val="Calibri"/>
      <family val="2"/>
    </font>
    <font>
      <b/>
      <sz val="11"/>
      <color theme="1"/>
      <name val="Arial Narrow"/>
      <family val="2"/>
    </font>
    <font>
      <b/>
      <vertAlign val="superscript"/>
      <sz val="10"/>
      <color theme="0"/>
      <name val="Arial Narrow"/>
      <family val="2"/>
    </font>
    <font>
      <vertAlign val="superscript"/>
      <sz val="10"/>
      <color theme="1"/>
      <name val="Arial Narrow"/>
      <family val="2"/>
    </font>
    <font>
      <vertAlign val="superscript"/>
      <sz val="10"/>
      <color rgb="FF202124"/>
      <name val="Arial Narrow"/>
      <family val="2"/>
    </font>
    <font>
      <b/>
      <sz val="9"/>
      <color theme="0"/>
      <name val="Arial Narrow"/>
      <family val="2"/>
    </font>
  </fonts>
  <fills count="16">
    <fill>
      <patternFill patternType="none"/>
    </fill>
    <fill>
      <patternFill patternType="gray125"/>
    </fill>
    <fill>
      <patternFill patternType="solid">
        <fgColor theme="5"/>
        <bgColor indexed="64"/>
      </patternFill>
    </fill>
    <fill>
      <patternFill patternType="solid">
        <fgColor rgb="FFFFFFFF"/>
        <bgColor indexed="64"/>
      </patternFill>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indexed="64"/>
      </patternFill>
    </fill>
    <fill>
      <patternFill patternType="solid">
        <fgColor rgb="FF92D050"/>
        <bgColor indexed="64"/>
      </patternFill>
    </fill>
    <fill>
      <patternFill patternType="solid">
        <fgColor rgb="FFFFFF00"/>
        <bgColor indexed="64"/>
      </patternFill>
    </fill>
    <fill>
      <patternFill patternType="solid">
        <fgColor theme="0" tint="-0.499984740745262"/>
        <bgColor indexed="64"/>
      </patternFill>
    </fill>
    <fill>
      <patternFill patternType="solid">
        <fgColor theme="9"/>
        <bgColor theme="9"/>
      </patternFill>
    </fill>
    <fill>
      <patternFill patternType="solid">
        <fgColor theme="7"/>
        <bgColor theme="7"/>
      </patternFill>
    </fill>
    <fill>
      <patternFill patternType="solid">
        <fgColor rgb="FFA5A5A5"/>
        <bgColor rgb="FFA5A5A5"/>
      </patternFill>
    </fill>
    <fill>
      <patternFill patternType="solid">
        <fgColor rgb="FFFFC000"/>
        <bgColor indexed="64"/>
      </patternFill>
    </fill>
    <fill>
      <patternFill patternType="solid">
        <fgColor rgb="FF00B05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3">
    <xf numFmtId="0" fontId="0" fillId="0" borderId="0"/>
    <xf numFmtId="0" fontId="29" fillId="0" borderId="0" applyNumberFormat="0" applyFill="0" applyBorder="0" applyAlignment="0" applyProtection="0"/>
    <xf numFmtId="9" fontId="32" fillId="0" borderId="0" applyFont="0" applyFill="0" applyBorder="0" applyAlignment="0" applyProtection="0"/>
  </cellStyleXfs>
  <cellXfs count="144">
    <xf numFmtId="0" fontId="0" fillId="0" borderId="0" xfId="0"/>
    <xf numFmtId="0" fontId="2" fillId="0" borderId="0" xfId="0" applyFont="1" applyAlignment="1">
      <alignment horizontal="left" vertical="top"/>
    </xf>
    <xf numFmtId="0" fontId="4" fillId="0" borderId="1" xfId="0" applyFont="1" applyBorder="1" applyAlignment="1">
      <alignment horizontal="left" vertical="top" wrapText="1"/>
    </xf>
    <xf numFmtId="0" fontId="4" fillId="3" borderId="1" xfId="0" applyFont="1" applyFill="1" applyBorder="1" applyAlignment="1">
      <alignment horizontal="left" vertical="top" wrapText="1"/>
    </xf>
    <xf numFmtId="0" fontId="1" fillId="0" borderId="0" xfId="0" applyFont="1" applyAlignment="1">
      <alignment horizontal="center" vertical="top"/>
    </xf>
    <xf numFmtId="0" fontId="1" fillId="0" borderId="0" xfId="0" applyFont="1" applyAlignment="1">
      <alignment vertical="top"/>
    </xf>
    <xf numFmtId="0" fontId="4" fillId="0" borderId="1" xfId="0" applyFont="1" applyBorder="1" applyAlignment="1">
      <alignment horizontal="center" vertical="top" wrapText="1"/>
    </xf>
    <xf numFmtId="0" fontId="4" fillId="0" borderId="1" xfId="0" applyFont="1" applyBorder="1" applyAlignment="1">
      <alignment vertical="top"/>
    </xf>
    <xf numFmtId="0" fontId="4" fillId="4" borderId="1" xfId="0" applyFont="1" applyFill="1" applyBorder="1" applyAlignment="1">
      <alignment horizontal="left" vertical="top" wrapText="1"/>
    </xf>
    <xf numFmtId="0" fontId="4" fillId="0" borderId="1" xfId="0" applyFont="1" applyBorder="1" applyAlignment="1">
      <alignment vertical="top" wrapText="1"/>
    </xf>
    <xf numFmtId="0" fontId="1" fillId="0" borderId="0" xfId="0" applyFont="1" applyBorder="1" applyAlignment="1">
      <alignment vertical="top"/>
    </xf>
    <xf numFmtId="0" fontId="1" fillId="0" borderId="0" xfId="0" applyFont="1" applyBorder="1" applyAlignment="1">
      <alignment horizontal="center" vertical="top"/>
    </xf>
    <xf numFmtId="0" fontId="0" fillId="0" borderId="0" xfId="0" applyAlignment="1">
      <alignment wrapText="1"/>
    </xf>
    <xf numFmtId="0" fontId="8" fillId="0" borderId="0" xfId="0" applyFont="1" applyAlignment="1">
      <alignment horizontal="left" vertical="top"/>
    </xf>
    <xf numFmtId="0" fontId="5" fillId="0" borderId="1" xfId="0" applyFont="1" applyBorder="1" applyAlignment="1">
      <alignment horizontal="left" vertical="top"/>
    </xf>
    <xf numFmtId="0" fontId="9" fillId="0" borderId="1" xfId="0" applyFont="1" applyBorder="1" applyAlignment="1">
      <alignment horizontal="left" vertical="top" readingOrder="1"/>
    </xf>
    <xf numFmtId="0" fontId="5" fillId="0" borderId="1" xfId="0" applyFont="1" applyBorder="1" applyAlignment="1">
      <alignment horizontal="left" vertical="top" wrapText="1"/>
    </xf>
    <xf numFmtId="0" fontId="4" fillId="0" borderId="1" xfId="0" applyFont="1" applyBorder="1" applyAlignment="1">
      <alignment horizontal="left" vertical="top"/>
    </xf>
    <xf numFmtId="0" fontId="9" fillId="5" borderId="1" xfId="0" applyFont="1" applyFill="1" applyBorder="1" applyAlignment="1">
      <alignment horizontal="left" vertical="top"/>
    </xf>
    <xf numFmtId="0" fontId="10" fillId="5" borderId="1" xfId="0" applyFont="1" applyFill="1" applyBorder="1" applyAlignment="1">
      <alignment horizontal="left" vertical="top"/>
    </xf>
    <xf numFmtId="0" fontId="10" fillId="5" borderId="1" xfId="0" applyFont="1" applyFill="1" applyBorder="1" applyAlignment="1">
      <alignment vertical="top"/>
    </xf>
    <xf numFmtId="0" fontId="7" fillId="0" borderId="0" xfId="0" applyFont="1" applyAlignment="1">
      <alignment horizontal="left" vertical="top"/>
    </xf>
    <xf numFmtId="0" fontId="14" fillId="0" borderId="0" xfId="0" applyFont="1" applyAlignment="1">
      <alignment horizontal="center" vertical="top"/>
    </xf>
    <xf numFmtId="0" fontId="4" fillId="3" borderId="1" xfId="0" applyFont="1" applyFill="1" applyBorder="1" applyAlignment="1">
      <alignment horizontal="center" vertical="top" wrapText="1"/>
    </xf>
    <xf numFmtId="0" fontId="15" fillId="0" borderId="0" xfId="0" applyFont="1" applyAlignment="1">
      <alignment horizontal="right" vertical="top"/>
    </xf>
    <xf numFmtId="0" fontId="3" fillId="2" borderId="2" xfId="0" applyFont="1" applyFill="1" applyBorder="1" applyAlignment="1">
      <alignment horizontal="center" vertical="top" wrapText="1"/>
    </xf>
    <xf numFmtId="0" fontId="0" fillId="0" borderId="0" xfId="0" applyAlignment="1">
      <alignment vertical="top"/>
    </xf>
    <xf numFmtId="0" fontId="4" fillId="4" borderId="1" xfId="0" applyFont="1" applyFill="1" applyBorder="1" applyAlignment="1">
      <alignment horizontal="center" vertical="top" wrapText="1"/>
    </xf>
    <xf numFmtId="0" fontId="4" fillId="4" borderId="1" xfId="0" applyFont="1" applyFill="1" applyBorder="1" applyAlignment="1">
      <alignment vertical="top"/>
    </xf>
    <xf numFmtId="0" fontId="1" fillId="4" borderId="0" xfId="0" applyFont="1" applyFill="1" applyAlignment="1">
      <alignment vertical="top"/>
    </xf>
    <xf numFmtId="0" fontId="4" fillId="4" borderId="0" xfId="0" applyFont="1" applyFill="1" applyBorder="1" applyAlignment="1">
      <alignment horizontal="center" vertical="top" wrapText="1"/>
    </xf>
    <xf numFmtId="0" fontId="4" fillId="4" borderId="0" xfId="0" applyFont="1" applyFill="1" applyBorder="1" applyAlignment="1">
      <alignment horizontal="left" vertical="top" wrapText="1"/>
    </xf>
    <xf numFmtId="0" fontId="1" fillId="4" borderId="0" xfId="0" applyFont="1" applyFill="1" applyBorder="1" applyAlignment="1">
      <alignment vertical="top"/>
    </xf>
    <xf numFmtId="0" fontId="4" fillId="4" borderId="0" xfId="0" applyFont="1" applyFill="1" applyBorder="1" applyAlignment="1">
      <alignment vertical="top"/>
    </xf>
    <xf numFmtId="0" fontId="4" fillId="4" borderId="0" xfId="0" applyFont="1" applyFill="1" applyBorder="1" applyAlignment="1">
      <alignment vertical="top" wrapText="1"/>
    </xf>
    <xf numFmtId="0" fontId="4" fillId="4" borderId="1" xfId="0" applyFont="1" applyFill="1" applyBorder="1" applyAlignment="1">
      <alignment vertical="top" wrapText="1"/>
    </xf>
    <xf numFmtId="0" fontId="0" fillId="0" borderId="0" xfId="0" applyAlignment="1">
      <alignment vertical="top" wrapText="1"/>
    </xf>
    <xf numFmtId="0" fontId="0" fillId="0" borderId="1" xfId="0" applyBorder="1" applyAlignment="1">
      <alignment vertical="top" wrapText="1"/>
    </xf>
    <xf numFmtId="0" fontId="0" fillId="0" borderId="3" xfId="0" applyBorder="1" applyAlignment="1">
      <alignment vertical="top" wrapText="1"/>
    </xf>
    <xf numFmtId="0" fontId="18" fillId="4" borderId="1" xfId="0" applyFont="1" applyFill="1" applyBorder="1" applyAlignment="1">
      <alignment horizontal="left" vertical="top"/>
    </xf>
    <xf numFmtId="0" fontId="18" fillId="4" borderId="1" xfId="0" applyFont="1" applyFill="1" applyBorder="1" applyAlignment="1">
      <alignment horizontal="center" vertical="top"/>
    </xf>
    <xf numFmtId="0" fontId="18" fillId="4" borderId="1" xfId="0" applyFont="1" applyFill="1" applyBorder="1" applyAlignment="1">
      <alignment horizontal="left" vertical="top" wrapText="1"/>
    </xf>
    <xf numFmtId="0" fontId="4" fillId="0" borderId="0" xfId="0" applyFont="1" applyAlignment="1">
      <alignment horizontal="left" vertical="top" wrapText="1"/>
    </xf>
    <xf numFmtId="0" fontId="0" fillId="7" borderId="0" xfId="0" applyFill="1" applyAlignment="1">
      <alignment vertical="top" wrapText="1"/>
    </xf>
    <xf numFmtId="0" fontId="21" fillId="0" borderId="0" xfId="0" applyFont="1" applyAlignment="1">
      <alignment horizontal="left" vertical="top"/>
    </xf>
    <xf numFmtId="0" fontId="0" fillId="8" borderId="0" xfId="0" applyFill="1"/>
    <xf numFmtId="0" fontId="20" fillId="2" borderId="1" xfId="0" applyFont="1" applyFill="1" applyBorder="1" applyAlignment="1">
      <alignment vertical="top" wrapText="1"/>
    </xf>
    <xf numFmtId="0" fontId="5" fillId="0" borderId="1" xfId="0" applyFont="1" applyBorder="1" applyAlignment="1">
      <alignment vertical="top" wrapText="1"/>
    </xf>
    <xf numFmtId="0" fontId="5" fillId="0" borderId="1" xfId="0" applyFont="1" applyBorder="1" applyAlignment="1">
      <alignment vertical="top"/>
    </xf>
    <xf numFmtId="0" fontId="16" fillId="0" borderId="0" xfId="0" applyFont="1"/>
    <xf numFmtId="0" fontId="5" fillId="9" borderId="1" xfId="0" applyFont="1" applyFill="1" applyBorder="1" applyAlignment="1">
      <alignment horizontal="left" vertical="top" wrapText="1"/>
    </xf>
    <xf numFmtId="0" fontId="8" fillId="2" borderId="0" xfId="0" applyFont="1" applyFill="1" applyAlignment="1">
      <alignment horizontal="left" vertical="top" wrapText="1"/>
    </xf>
    <xf numFmtId="0" fontId="10" fillId="10"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0" fillId="0" borderId="1" xfId="0" applyBorder="1"/>
    <xf numFmtId="0" fontId="1" fillId="0" borderId="0" xfId="0" applyFont="1" applyAlignment="1">
      <alignment vertical="top" wrapText="1"/>
    </xf>
    <xf numFmtId="0" fontId="13" fillId="0" borderId="0" xfId="0" applyFont="1" applyAlignment="1">
      <alignment vertical="top"/>
    </xf>
    <xf numFmtId="0" fontId="22" fillId="0" borderId="0" xfId="0" applyFont="1"/>
    <xf numFmtId="0" fontId="4" fillId="0" borderId="1" xfId="0" applyFont="1" applyBorder="1" applyAlignment="1">
      <alignment horizontal="left" vertical="center"/>
    </xf>
    <xf numFmtId="0" fontId="23" fillId="0" borderId="0" xfId="0" applyFont="1" applyAlignment="1">
      <alignment vertical="top" wrapText="1"/>
    </xf>
    <xf numFmtId="0" fontId="25" fillId="0" borderId="0" xfId="0" applyFont="1"/>
    <xf numFmtId="0" fontId="26" fillId="4" borderId="1" xfId="0" applyFont="1" applyFill="1" applyBorder="1" applyAlignment="1">
      <alignment horizontal="center" vertical="top"/>
    </xf>
    <xf numFmtId="0" fontId="24" fillId="4" borderId="1" xfId="0" applyFont="1" applyFill="1" applyBorder="1" applyAlignment="1">
      <alignment horizontal="center" vertical="top"/>
    </xf>
    <xf numFmtId="0" fontId="27" fillId="0" borderId="0" xfId="0" applyFont="1"/>
    <xf numFmtId="0" fontId="20" fillId="2" borderId="1" xfId="0" applyFont="1" applyFill="1" applyBorder="1" applyAlignment="1">
      <alignment vertical="center" wrapText="1"/>
    </xf>
    <xf numFmtId="0" fontId="20" fillId="2" borderId="1" xfId="0" applyFont="1" applyFill="1" applyBorder="1" applyAlignment="1">
      <alignment horizontal="center" vertical="center" wrapText="1"/>
    </xf>
    <xf numFmtId="0" fontId="28" fillId="2" borderId="1" xfId="0" applyFont="1" applyFill="1" applyBorder="1" applyAlignment="1">
      <alignment vertical="top"/>
    </xf>
    <xf numFmtId="0" fontId="15" fillId="0" borderId="0" xfId="0" applyFont="1" applyAlignment="1">
      <alignment horizontal="right" vertical="top"/>
    </xf>
    <xf numFmtId="0" fontId="26" fillId="0" borderId="1" xfId="0" applyFont="1" applyBorder="1" applyAlignment="1">
      <alignment horizontal="center" vertical="top"/>
    </xf>
    <xf numFmtId="0" fontId="30" fillId="0" borderId="1" xfId="0" applyFont="1" applyBorder="1" applyAlignment="1">
      <alignment horizontal="center" vertical="center"/>
    </xf>
    <xf numFmtId="0" fontId="3" fillId="2" borderId="1" xfId="0" applyFont="1" applyFill="1" applyBorder="1" applyAlignment="1">
      <alignment horizontal="center" vertical="top" wrapText="1"/>
    </xf>
    <xf numFmtId="0" fontId="31" fillId="0" borderId="1" xfId="1" applyFont="1" applyBorder="1" applyAlignment="1">
      <alignment horizontal="left" vertical="top" wrapText="1"/>
    </xf>
    <xf numFmtId="0" fontId="31" fillId="0" borderId="1" xfId="1" applyFont="1" applyFill="1" applyBorder="1" applyAlignment="1">
      <alignment vertical="top" wrapText="1"/>
    </xf>
    <xf numFmtId="0" fontId="17" fillId="6" borderId="1" xfId="0" applyFont="1" applyFill="1" applyBorder="1" applyAlignment="1">
      <alignment horizontal="left" vertical="top"/>
    </xf>
    <xf numFmtId="0" fontId="17" fillId="6" borderId="1" xfId="0" applyFont="1" applyFill="1" applyBorder="1" applyAlignment="1">
      <alignment horizontal="center" vertical="top"/>
    </xf>
    <xf numFmtId="0" fontId="15" fillId="0" borderId="0" xfId="0" applyFont="1" applyAlignment="1">
      <alignment vertical="top"/>
    </xf>
    <xf numFmtId="0" fontId="23" fillId="0" borderId="1" xfId="0" applyFont="1" applyBorder="1" applyAlignment="1">
      <alignment vertical="top" wrapText="1"/>
    </xf>
    <xf numFmtId="9" fontId="18" fillId="0" borderId="1" xfId="2" applyFont="1" applyBorder="1" applyAlignment="1">
      <alignment horizontal="center" vertical="center"/>
    </xf>
    <xf numFmtId="0" fontId="17" fillId="6" borderId="1" xfId="0" applyFont="1" applyFill="1" applyBorder="1" applyAlignment="1">
      <alignment horizontal="left" vertical="top" wrapText="1"/>
    </xf>
    <xf numFmtId="0" fontId="17" fillId="6" borderId="1" xfId="0" applyFont="1" applyFill="1" applyBorder="1" applyAlignment="1">
      <alignment horizontal="center" vertical="top" wrapText="1"/>
    </xf>
    <xf numFmtId="9" fontId="17" fillId="6" borderId="1" xfId="2" applyFont="1" applyFill="1" applyBorder="1" applyAlignment="1">
      <alignment horizontal="center" vertical="center"/>
    </xf>
    <xf numFmtId="0" fontId="4" fillId="0" borderId="0" xfId="0" applyFont="1" applyBorder="1" applyAlignment="1">
      <alignment horizontal="left" vertical="center"/>
    </xf>
    <xf numFmtId="0" fontId="4" fillId="0" borderId="0" xfId="0" applyFont="1" applyBorder="1" applyAlignment="1">
      <alignment horizontal="left" vertical="top" wrapText="1"/>
    </xf>
    <xf numFmtId="0" fontId="0" fillId="0" borderId="0" xfId="0" applyBorder="1"/>
    <xf numFmtId="0" fontId="10" fillId="0" borderId="1" xfId="0" applyFont="1" applyBorder="1" applyAlignment="1">
      <alignment horizontal="left" vertical="center"/>
    </xf>
    <xf numFmtId="0" fontId="10" fillId="0" borderId="1" xfId="0" applyFont="1" applyBorder="1" applyAlignment="1">
      <alignment horizontal="left" vertical="top" wrapText="1"/>
    </xf>
    <xf numFmtId="0" fontId="10" fillId="0" borderId="1" xfId="0" applyFont="1" applyBorder="1" applyAlignment="1">
      <alignment vertical="top" wrapText="1"/>
    </xf>
    <xf numFmtId="0" fontId="4" fillId="4" borderId="1" xfId="0" applyFont="1" applyFill="1" applyBorder="1" applyAlignment="1">
      <alignment horizontal="center" vertical="top"/>
    </xf>
    <xf numFmtId="0" fontId="33" fillId="0" borderId="1" xfId="0" applyFont="1" applyBorder="1"/>
    <xf numFmtId="0" fontId="33" fillId="0" borderId="0" xfId="0" applyFont="1"/>
    <xf numFmtId="0" fontId="33" fillId="0" borderId="0" xfId="0" applyFont="1" applyBorder="1"/>
    <xf numFmtId="0" fontId="20" fillId="2" borderId="1" xfId="0" applyFont="1" applyFill="1" applyBorder="1" applyAlignment="1">
      <alignment horizontal="center" vertical="center" wrapText="1"/>
    </xf>
    <xf numFmtId="0" fontId="0" fillId="0" borderId="0" xfId="0" applyAlignment="1">
      <alignment horizontal="center"/>
    </xf>
    <xf numFmtId="0" fontId="33" fillId="0" borderId="8" xfId="0" applyFont="1" applyBorder="1" applyAlignment="1">
      <alignment vertical="top"/>
    </xf>
    <xf numFmtId="0" fontId="33" fillId="11" borderId="8" xfId="0" applyFont="1" applyFill="1" applyBorder="1" applyAlignment="1">
      <alignment vertical="top"/>
    </xf>
    <xf numFmtId="0" fontId="33" fillId="0" borderId="8" xfId="0" applyFont="1" applyBorder="1" applyAlignment="1">
      <alignment vertical="top" wrapText="1"/>
    </xf>
    <xf numFmtId="0" fontId="33" fillId="0" borderId="8" xfId="0" applyFont="1" applyBorder="1" applyAlignment="1">
      <alignment horizontal="left" vertical="top"/>
    </xf>
    <xf numFmtId="0" fontId="33" fillId="12" borderId="8" xfId="0" applyFont="1" applyFill="1" applyBorder="1" applyAlignment="1">
      <alignment vertical="top"/>
    </xf>
    <xf numFmtId="0" fontId="35" fillId="13" borderId="8" xfId="0" applyFont="1" applyFill="1" applyBorder="1" applyAlignment="1">
      <alignment vertical="top"/>
    </xf>
    <xf numFmtId="0" fontId="4" fillId="0" borderId="0" xfId="0" applyFont="1" applyBorder="1" applyAlignment="1">
      <alignment horizontal="center" vertical="top"/>
    </xf>
    <xf numFmtId="0" fontId="22" fillId="0" borderId="0" xfId="0" applyFont="1" applyBorder="1" applyAlignment="1">
      <alignment horizontal="center" vertical="top"/>
    </xf>
    <xf numFmtId="0" fontId="6" fillId="0" borderId="0" xfId="0" applyFont="1" applyBorder="1" applyAlignment="1">
      <alignment vertical="top"/>
    </xf>
    <xf numFmtId="0" fontId="6" fillId="0" borderId="0" xfId="0" applyFont="1" applyBorder="1" applyAlignment="1">
      <alignment vertical="top" wrapText="1"/>
    </xf>
    <xf numFmtId="0" fontId="23" fillId="4" borderId="1" xfId="0" applyFont="1" applyFill="1" applyBorder="1" applyAlignment="1">
      <alignment vertical="top" wrapText="1"/>
    </xf>
    <xf numFmtId="0" fontId="4" fillId="0" borderId="1" xfId="0" applyFont="1" applyBorder="1" applyAlignment="1">
      <alignment vertical="center"/>
    </xf>
    <xf numFmtId="0" fontId="4" fillId="0" borderId="1" xfId="0" applyFont="1" applyBorder="1"/>
    <xf numFmtId="0" fontId="1" fillId="0" borderId="1" xfId="0" applyFont="1" applyBorder="1" applyAlignment="1">
      <alignment vertical="top" wrapText="1"/>
    </xf>
    <xf numFmtId="0" fontId="1" fillId="0" borderId="1" xfId="0" applyFont="1" applyBorder="1" applyAlignment="1">
      <alignment vertical="top"/>
    </xf>
    <xf numFmtId="0" fontId="39" fillId="7" borderId="1" xfId="0" applyFont="1" applyFill="1" applyBorder="1" applyAlignment="1">
      <alignment vertical="top"/>
    </xf>
    <xf numFmtId="0" fontId="20" fillId="2" borderId="1" xfId="0" applyFont="1" applyFill="1" applyBorder="1" applyAlignment="1">
      <alignment horizontal="center" vertical="top" wrapText="1"/>
    </xf>
    <xf numFmtId="0" fontId="4" fillId="4" borderId="3" xfId="0" applyFont="1" applyFill="1" applyBorder="1" applyAlignment="1">
      <alignment vertical="top" wrapText="1"/>
    </xf>
    <xf numFmtId="0" fontId="4" fillId="14" borderId="1" xfId="0" applyFont="1" applyFill="1" applyBorder="1" applyAlignment="1">
      <alignment horizontal="left" vertical="top" wrapText="1"/>
    </xf>
    <xf numFmtId="0" fontId="5" fillId="14" borderId="1" xfId="0" applyFont="1" applyFill="1" applyBorder="1" applyAlignment="1">
      <alignment horizontal="left" vertical="top" wrapText="1"/>
    </xf>
    <xf numFmtId="0" fontId="4" fillId="14" borderId="1" xfId="0" applyFont="1" applyFill="1" applyBorder="1" applyAlignment="1">
      <alignment vertical="top" wrapText="1"/>
    </xf>
    <xf numFmtId="0" fontId="4" fillId="15" borderId="1" xfId="0" applyFont="1" applyFill="1" applyBorder="1" applyAlignment="1">
      <alignment vertical="top" wrapText="1"/>
    </xf>
    <xf numFmtId="0" fontId="4" fillId="15" borderId="1" xfId="0" applyFont="1" applyFill="1" applyBorder="1" applyAlignment="1">
      <alignment horizontal="left" vertical="top" wrapText="1"/>
    </xf>
    <xf numFmtId="0" fontId="20" fillId="2" borderId="2" xfId="0" applyFont="1" applyFill="1" applyBorder="1" applyAlignment="1">
      <alignment horizontal="center" vertical="center" wrapText="1"/>
    </xf>
    <xf numFmtId="0" fontId="11" fillId="0" borderId="0" xfId="0" applyFont="1" applyAlignment="1">
      <alignment horizontal="left" vertical="top"/>
    </xf>
    <xf numFmtId="0" fontId="33" fillId="0" borderId="10" xfId="0" applyFont="1" applyBorder="1" applyAlignment="1">
      <alignment horizontal="left" vertical="top"/>
    </xf>
    <xf numFmtId="0" fontId="34" fillId="0" borderId="9" xfId="0" applyFont="1" applyBorder="1"/>
    <xf numFmtId="0" fontId="33" fillId="0" borderId="10" xfId="0" applyFont="1" applyBorder="1" applyAlignment="1">
      <alignment horizontal="left" vertical="top" wrapText="1"/>
    </xf>
    <xf numFmtId="0" fontId="6" fillId="0" borderId="0" xfId="0" applyFont="1" applyBorder="1" applyAlignment="1">
      <alignment horizontal="left" vertical="top" wrapText="1"/>
    </xf>
    <xf numFmtId="0" fontId="6" fillId="0" borderId="0" xfId="0" applyFont="1" applyBorder="1" applyAlignment="1">
      <alignment horizontal="left" vertical="top"/>
    </xf>
    <xf numFmtId="0" fontId="15" fillId="0" borderId="0" xfId="0" applyFont="1" applyAlignment="1">
      <alignment horizontal="center" vertical="top"/>
    </xf>
    <xf numFmtId="0" fontId="20" fillId="2" borderId="4" xfId="0" applyFont="1" applyFill="1" applyBorder="1" applyAlignment="1">
      <alignment horizontal="center" vertical="center"/>
    </xf>
    <xf numFmtId="0" fontId="20" fillId="2" borderId="5" xfId="0" applyFont="1" applyFill="1" applyBorder="1" applyAlignment="1">
      <alignment horizontal="center" vertical="center"/>
    </xf>
    <xf numFmtId="0" fontId="20" fillId="2" borderId="6" xfId="0" applyFont="1" applyFill="1" applyBorder="1" applyAlignment="1">
      <alignment horizontal="center" vertical="center"/>
    </xf>
    <xf numFmtId="0" fontId="20" fillId="2" borderId="4" xfId="0" applyFont="1" applyFill="1" applyBorder="1" applyAlignment="1">
      <alignment horizontal="center" vertical="center" wrapText="1"/>
    </xf>
    <xf numFmtId="0" fontId="20" fillId="2" borderId="6" xfId="0" applyFont="1" applyFill="1" applyBorder="1" applyAlignment="1">
      <alignment horizontal="center" vertical="center" wrapText="1"/>
    </xf>
    <xf numFmtId="0" fontId="20" fillId="2" borderId="1" xfId="0" applyFont="1" applyFill="1" applyBorder="1" applyAlignment="1">
      <alignment horizontal="center" vertical="center" wrapText="1"/>
    </xf>
    <xf numFmtId="0" fontId="20" fillId="2" borderId="5" xfId="0" applyFont="1" applyFill="1" applyBorder="1" applyAlignment="1">
      <alignment horizontal="center" vertical="center" wrapText="1"/>
    </xf>
    <xf numFmtId="0" fontId="25" fillId="0" borderId="0" xfId="0" applyFont="1" applyAlignment="1">
      <alignment horizontal="left" vertical="top" wrapText="1"/>
    </xf>
    <xf numFmtId="0" fontId="25" fillId="0" borderId="0" xfId="0" applyFont="1" applyAlignment="1">
      <alignment horizontal="left" vertical="top"/>
    </xf>
    <xf numFmtId="0" fontId="20" fillId="2" borderId="2" xfId="0" applyFont="1" applyFill="1" applyBorder="1" applyAlignment="1">
      <alignment horizontal="center" vertical="center" wrapText="1"/>
    </xf>
    <xf numFmtId="0" fontId="20" fillId="2" borderId="3" xfId="0" applyFont="1" applyFill="1" applyBorder="1" applyAlignment="1">
      <alignment horizontal="center" vertical="center" wrapText="1"/>
    </xf>
    <xf numFmtId="0" fontId="15" fillId="0" borderId="0" xfId="0" applyFont="1" applyAlignment="1">
      <alignment horizontal="right" vertical="top"/>
    </xf>
    <xf numFmtId="0" fontId="22" fillId="0" borderId="0" xfId="0" applyFont="1" applyAlignment="1">
      <alignment horizontal="left" vertical="top" wrapText="1"/>
    </xf>
    <xf numFmtId="0" fontId="4" fillId="0" borderId="2" xfId="0" applyFont="1" applyBorder="1" applyAlignment="1">
      <alignment horizontal="center" vertical="center"/>
    </xf>
    <xf numFmtId="0" fontId="4" fillId="0" borderId="7" xfId="0" applyFont="1" applyBorder="1" applyAlignment="1">
      <alignment horizontal="center" vertical="center"/>
    </xf>
    <xf numFmtId="0" fontId="4" fillId="0" borderId="3" xfId="0" applyFont="1" applyBorder="1" applyAlignment="1">
      <alignment horizontal="center" vertical="center"/>
    </xf>
    <xf numFmtId="0" fontId="10" fillId="10" borderId="1" xfId="0" applyFont="1" applyFill="1" applyBorder="1" applyAlignment="1">
      <alignment horizontal="center" vertical="top" wrapText="1"/>
    </xf>
    <xf numFmtId="0" fontId="10" fillId="10" borderId="2" xfId="0" applyFont="1" applyFill="1" applyBorder="1" applyAlignment="1">
      <alignment horizontal="center" vertical="top" wrapText="1"/>
    </xf>
    <xf numFmtId="0" fontId="10" fillId="10" borderId="3" xfId="0" applyFont="1" applyFill="1" applyBorder="1" applyAlignment="1">
      <alignment horizontal="center" vertical="top" wrapText="1"/>
    </xf>
    <xf numFmtId="0" fontId="16" fillId="0" borderId="0" xfId="0" applyFont="1" applyBorder="1" applyAlignment="1">
      <alignment horizontal="left" vertical="top" wrapText="1"/>
    </xf>
  </cellXfs>
  <cellStyles count="3">
    <cellStyle name="Hyperlink" xfId="1"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D7DF5-E408-4648-8080-123900AB617C}">
  <dimension ref="B2:F12"/>
  <sheetViews>
    <sheetView workbookViewId="0">
      <selection activeCell="C13" sqref="C13"/>
    </sheetView>
  </sheetViews>
  <sheetFormatPr defaultRowHeight="15" x14ac:dyDescent="0.25"/>
  <cols>
    <col min="2" max="2" width="4.7109375" customWidth="1"/>
    <col min="3" max="3" width="53.42578125" customWidth="1"/>
    <col min="4" max="4" width="15" hidden="1" customWidth="1"/>
    <col min="5" max="5" width="11.42578125" customWidth="1"/>
    <col min="6" max="6" width="33.140625" customWidth="1"/>
  </cols>
  <sheetData>
    <row r="2" spans="2:6" ht="15.75" x14ac:dyDescent="0.25">
      <c r="B2" s="117" t="s">
        <v>19</v>
      </c>
      <c r="C2" s="117"/>
    </row>
    <row r="3" spans="2:6" ht="15.75" x14ac:dyDescent="0.25">
      <c r="B3" s="21"/>
      <c r="C3" s="21"/>
    </row>
    <row r="4" spans="2:6" x14ac:dyDescent="0.25">
      <c r="B4" s="18" t="s">
        <v>23</v>
      </c>
      <c r="C4" s="18" t="s">
        <v>21</v>
      </c>
      <c r="D4" s="19" t="s">
        <v>29</v>
      </c>
      <c r="E4" s="20" t="s">
        <v>30</v>
      </c>
      <c r="F4" t="s">
        <v>226</v>
      </c>
    </row>
    <row r="5" spans="2:6" ht="25.5" x14ac:dyDescent="0.25">
      <c r="B5" s="15">
        <v>1</v>
      </c>
      <c r="C5" s="16" t="s">
        <v>20</v>
      </c>
      <c r="D5" s="17" t="s">
        <v>22</v>
      </c>
      <c r="E5" s="7" t="s">
        <v>175</v>
      </c>
    </row>
    <row r="6" spans="2:6" ht="15.75" customHeight="1" x14ac:dyDescent="0.25">
      <c r="B6" s="17">
        <v>2</v>
      </c>
      <c r="C6" s="50" t="s">
        <v>26</v>
      </c>
      <c r="D6" s="14" t="s">
        <v>17</v>
      </c>
      <c r="E6" s="7" t="s">
        <v>175</v>
      </c>
    </row>
    <row r="7" spans="2:6" x14ac:dyDescent="0.25">
      <c r="B7" s="17">
        <v>3</v>
      </c>
      <c r="C7" s="16" t="s">
        <v>24</v>
      </c>
      <c r="D7" s="14" t="s">
        <v>17</v>
      </c>
      <c r="E7" s="7" t="s">
        <v>175</v>
      </c>
    </row>
    <row r="8" spans="2:6" x14ac:dyDescent="0.25">
      <c r="B8" s="17">
        <v>4</v>
      </c>
      <c r="C8" s="16" t="s">
        <v>25</v>
      </c>
      <c r="D8" s="14" t="s">
        <v>17</v>
      </c>
      <c r="E8" s="7" t="s">
        <v>175</v>
      </c>
    </row>
    <row r="9" spans="2:6" x14ac:dyDescent="0.25">
      <c r="B9" s="17">
        <v>5</v>
      </c>
      <c r="C9" s="16" t="s">
        <v>27</v>
      </c>
      <c r="D9" s="14" t="s">
        <v>17</v>
      </c>
      <c r="E9" s="7" t="s">
        <v>175</v>
      </c>
    </row>
    <row r="10" spans="2:6" ht="51" x14ac:dyDescent="0.25">
      <c r="B10" s="17">
        <v>6</v>
      </c>
      <c r="C10" s="16" t="s">
        <v>31</v>
      </c>
      <c r="D10" s="14" t="s">
        <v>18</v>
      </c>
      <c r="E10" s="7" t="s">
        <v>175</v>
      </c>
    </row>
    <row r="11" spans="2:6" ht="38.25" x14ac:dyDescent="0.25">
      <c r="B11" s="17">
        <v>7</v>
      </c>
      <c r="C11" s="16" t="s">
        <v>28</v>
      </c>
      <c r="D11" s="14" t="s">
        <v>16</v>
      </c>
      <c r="E11" s="7" t="s">
        <v>175</v>
      </c>
    </row>
    <row r="12" spans="2:6" ht="15.75" x14ac:dyDescent="0.25">
      <c r="C12" s="51" t="s">
        <v>227</v>
      </c>
      <c r="D12" s="13"/>
    </row>
  </sheetData>
  <mergeCells count="1">
    <mergeCell ref="B2:C2"/>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B4891-7B89-4E2B-BE9E-87787D04EB09}">
  <dimension ref="B3:E1000"/>
  <sheetViews>
    <sheetView tabSelected="1" workbookViewId="0">
      <selection activeCell="E3" sqref="E3"/>
    </sheetView>
  </sheetViews>
  <sheetFormatPr defaultColWidth="14.42578125" defaultRowHeight="15" customHeight="1" x14ac:dyDescent="0.25"/>
  <cols>
    <col min="1" max="1" width="8.7109375" customWidth="1"/>
    <col min="2" max="2" width="7.42578125" customWidth="1"/>
    <col min="3" max="3" width="57.5703125" customWidth="1"/>
    <col min="4" max="4" width="9.140625" customWidth="1"/>
    <col min="5" max="5" width="63.5703125" customWidth="1"/>
    <col min="6" max="26" width="8.7109375" customWidth="1"/>
  </cols>
  <sheetData>
    <row r="3" spans="2:5" ht="16.5" x14ac:dyDescent="0.25">
      <c r="B3" s="98" t="s">
        <v>23</v>
      </c>
      <c r="C3" s="98" t="s">
        <v>494</v>
      </c>
      <c r="D3" s="98" t="s">
        <v>493</v>
      </c>
      <c r="E3" s="98" t="s">
        <v>608</v>
      </c>
    </row>
    <row r="4" spans="2:5" ht="21.75" customHeight="1" x14ac:dyDescent="0.25">
      <c r="B4" s="118" t="s">
        <v>492</v>
      </c>
      <c r="C4" s="120" t="s">
        <v>491</v>
      </c>
      <c r="D4" s="94"/>
      <c r="E4" s="95" t="s">
        <v>490</v>
      </c>
    </row>
    <row r="5" spans="2:5" ht="33" x14ac:dyDescent="0.25">
      <c r="B5" s="119"/>
      <c r="C5" s="119"/>
      <c r="D5" s="97"/>
      <c r="E5" s="95" t="s">
        <v>489</v>
      </c>
    </row>
    <row r="6" spans="2:5" ht="16.5" x14ac:dyDescent="0.25">
      <c r="B6" s="96" t="s">
        <v>488</v>
      </c>
      <c r="C6" s="93" t="s">
        <v>487</v>
      </c>
      <c r="D6" s="94"/>
      <c r="E6" s="93" t="s">
        <v>478</v>
      </c>
    </row>
    <row r="7" spans="2:5" ht="16.5" x14ac:dyDescent="0.25">
      <c r="B7" s="96" t="s">
        <v>486</v>
      </c>
      <c r="C7" s="93" t="s">
        <v>485</v>
      </c>
      <c r="D7" s="94"/>
      <c r="E7" s="93" t="s">
        <v>478</v>
      </c>
    </row>
    <row r="8" spans="2:5" ht="16.5" x14ac:dyDescent="0.25">
      <c r="B8" s="96" t="s">
        <v>484</v>
      </c>
      <c r="C8" s="93" t="s">
        <v>483</v>
      </c>
      <c r="D8" s="94"/>
      <c r="E8" s="93" t="s">
        <v>478</v>
      </c>
    </row>
    <row r="9" spans="2:5" ht="16.5" x14ac:dyDescent="0.25">
      <c r="B9" s="96" t="s">
        <v>482</v>
      </c>
      <c r="C9" s="93" t="s">
        <v>481</v>
      </c>
      <c r="D9" s="94"/>
      <c r="E9" s="93" t="s">
        <v>478</v>
      </c>
    </row>
    <row r="10" spans="2:5" ht="33" x14ac:dyDescent="0.25">
      <c r="B10" s="96" t="s">
        <v>480</v>
      </c>
      <c r="C10" s="95" t="s">
        <v>479</v>
      </c>
      <c r="D10" s="94"/>
      <c r="E10" s="93" t="s">
        <v>478</v>
      </c>
    </row>
    <row r="21" customFormat="1" ht="15.75" customHeight="1" x14ac:dyDescent="0.25"/>
    <row r="22" customFormat="1" ht="15.75" customHeight="1" x14ac:dyDescent="0.25"/>
    <row r="23" customFormat="1" ht="15.75" customHeight="1" x14ac:dyDescent="0.25"/>
    <row r="24" customFormat="1" ht="15.75" customHeight="1" x14ac:dyDescent="0.25"/>
    <row r="25" customFormat="1" ht="15.75" customHeight="1" x14ac:dyDescent="0.25"/>
    <row r="26" customFormat="1" ht="15.75" customHeight="1" x14ac:dyDescent="0.25"/>
    <row r="27" customFormat="1" ht="15.75" customHeight="1" x14ac:dyDescent="0.25"/>
    <row r="28" customFormat="1" ht="15.75" customHeight="1" x14ac:dyDescent="0.25"/>
    <row r="29" customFormat="1" ht="15.75" customHeight="1" x14ac:dyDescent="0.25"/>
    <row r="30" customFormat="1" ht="15.75" customHeight="1" x14ac:dyDescent="0.25"/>
    <row r="31" customFormat="1" ht="15.75" customHeight="1" x14ac:dyDescent="0.25"/>
    <row r="32" customFormat="1" ht="15.75" customHeight="1" x14ac:dyDescent="0.25"/>
    <row r="33" customFormat="1" ht="15.75" customHeight="1" x14ac:dyDescent="0.25"/>
    <row r="34" customFormat="1" ht="15.75" customHeight="1" x14ac:dyDescent="0.25"/>
    <row r="35" customFormat="1" ht="15.75" customHeight="1" x14ac:dyDescent="0.25"/>
    <row r="36" customFormat="1" ht="15.75" customHeight="1" x14ac:dyDescent="0.25"/>
    <row r="37" customFormat="1" ht="15.75" customHeight="1" x14ac:dyDescent="0.25"/>
    <row r="38" customFormat="1" ht="15.75" customHeight="1" x14ac:dyDescent="0.25"/>
    <row r="39" customFormat="1" ht="15.75" customHeight="1" x14ac:dyDescent="0.25"/>
    <row r="40" customFormat="1" ht="15.75" customHeight="1" x14ac:dyDescent="0.25"/>
    <row r="41" customFormat="1" ht="15.75" customHeight="1" x14ac:dyDescent="0.25"/>
    <row r="42" customFormat="1" ht="15.75" customHeight="1" x14ac:dyDescent="0.25"/>
    <row r="43" customFormat="1" ht="15.75" customHeight="1" x14ac:dyDescent="0.25"/>
    <row r="44" customFormat="1" ht="15.75" customHeight="1" x14ac:dyDescent="0.25"/>
    <row r="45" customFormat="1" ht="15.75" customHeight="1" x14ac:dyDescent="0.25"/>
    <row r="46" customFormat="1" ht="15.75" customHeight="1" x14ac:dyDescent="0.25"/>
    <row r="47" customFormat="1" ht="15.75" customHeight="1" x14ac:dyDescent="0.25"/>
    <row r="48" customFormat="1" ht="15.75" customHeight="1" x14ac:dyDescent="0.25"/>
    <row r="49" customFormat="1" ht="15.75" customHeight="1" x14ac:dyDescent="0.25"/>
    <row r="50" customFormat="1" ht="15.75" customHeight="1" x14ac:dyDescent="0.25"/>
    <row r="51" customFormat="1" ht="15.75" customHeight="1" x14ac:dyDescent="0.25"/>
    <row r="52" customFormat="1" ht="15.75" customHeight="1" x14ac:dyDescent="0.25"/>
    <row r="53" customFormat="1" ht="15.75" customHeight="1" x14ac:dyDescent="0.25"/>
    <row r="54" customFormat="1" ht="15.75" customHeight="1" x14ac:dyDescent="0.25"/>
    <row r="55" customFormat="1" ht="15.75" customHeight="1" x14ac:dyDescent="0.25"/>
    <row r="56" customFormat="1" ht="15.75" customHeight="1" x14ac:dyDescent="0.25"/>
    <row r="57" customFormat="1" ht="15.75" customHeight="1" x14ac:dyDescent="0.25"/>
    <row r="58" customFormat="1" ht="15.75" customHeight="1" x14ac:dyDescent="0.25"/>
    <row r="59" customFormat="1" ht="15.75" customHeight="1" x14ac:dyDescent="0.25"/>
    <row r="60" customFormat="1" ht="15.75" customHeight="1" x14ac:dyDescent="0.25"/>
    <row r="61" customFormat="1" ht="15.75" customHeight="1" x14ac:dyDescent="0.25"/>
    <row r="62" customFormat="1" ht="15.75" customHeight="1" x14ac:dyDescent="0.25"/>
    <row r="63" customFormat="1" ht="15.75" customHeight="1" x14ac:dyDescent="0.25"/>
    <row r="64" customFormat="1" ht="15.75" customHeight="1" x14ac:dyDescent="0.25"/>
    <row r="65" customFormat="1" ht="15.75" customHeight="1" x14ac:dyDescent="0.25"/>
    <row r="66" customFormat="1" ht="15.75" customHeight="1" x14ac:dyDescent="0.25"/>
    <row r="67" customFormat="1" ht="15.75" customHeight="1" x14ac:dyDescent="0.25"/>
    <row r="68" customFormat="1" ht="15.75" customHeight="1" x14ac:dyDescent="0.25"/>
    <row r="69" customFormat="1" ht="15.75" customHeight="1" x14ac:dyDescent="0.25"/>
    <row r="70" customFormat="1" ht="15.75" customHeight="1" x14ac:dyDescent="0.25"/>
    <row r="71" customFormat="1" ht="15.75" customHeight="1" x14ac:dyDescent="0.25"/>
    <row r="72" customFormat="1" ht="15.75" customHeight="1" x14ac:dyDescent="0.25"/>
    <row r="73" customFormat="1" ht="15.75" customHeight="1" x14ac:dyDescent="0.25"/>
    <row r="74" customFormat="1" ht="15.75" customHeight="1" x14ac:dyDescent="0.25"/>
    <row r="75" customFormat="1" ht="15.75" customHeight="1" x14ac:dyDescent="0.25"/>
    <row r="76" customFormat="1" ht="15.75" customHeight="1" x14ac:dyDescent="0.25"/>
    <row r="77" customFormat="1" ht="15.75" customHeight="1" x14ac:dyDescent="0.25"/>
    <row r="78" customFormat="1" ht="15.75" customHeight="1" x14ac:dyDescent="0.25"/>
    <row r="79" customFormat="1" ht="15.75" customHeight="1" x14ac:dyDescent="0.25"/>
    <row r="80" customFormat="1" ht="15.75" customHeight="1" x14ac:dyDescent="0.25"/>
    <row r="81" customFormat="1" ht="15.75" customHeight="1" x14ac:dyDescent="0.25"/>
    <row r="82" customFormat="1" ht="15.75" customHeight="1" x14ac:dyDescent="0.25"/>
    <row r="83" customFormat="1" ht="15.75" customHeight="1" x14ac:dyDescent="0.25"/>
    <row r="84" customFormat="1" ht="15.75" customHeight="1" x14ac:dyDescent="0.25"/>
    <row r="85" customFormat="1" ht="15.75" customHeight="1" x14ac:dyDescent="0.25"/>
    <row r="86" customFormat="1" ht="15.75" customHeight="1" x14ac:dyDescent="0.25"/>
    <row r="87" customFormat="1" ht="15.75" customHeight="1" x14ac:dyDescent="0.25"/>
    <row r="88" customFormat="1" ht="15.75" customHeight="1" x14ac:dyDescent="0.25"/>
    <row r="89" customFormat="1" ht="15.75" customHeight="1" x14ac:dyDescent="0.25"/>
    <row r="90" customFormat="1" ht="15.75" customHeight="1" x14ac:dyDescent="0.25"/>
    <row r="91" customFormat="1" ht="15.75" customHeight="1" x14ac:dyDescent="0.25"/>
    <row r="92" customFormat="1" ht="15.75" customHeight="1" x14ac:dyDescent="0.25"/>
    <row r="93" customFormat="1" ht="15.75" customHeight="1" x14ac:dyDescent="0.25"/>
    <row r="94" customFormat="1" ht="15.75" customHeight="1" x14ac:dyDescent="0.25"/>
    <row r="95" customFormat="1" ht="15.75" customHeight="1" x14ac:dyDescent="0.25"/>
    <row r="96" customFormat="1" ht="15.75" customHeight="1" x14ac:dyDescent="0.25"/>
    <row r="97" customFormat="1" ht="15.75" customHeight="1" x14ac:dyDescent="0.25"/>
    <row r="98" customFormat="1" ht="15.75" customHeight="1" x14ac:dyDescent="0.25"/>
    <row r="99" customFormat="1" ht="15.75" customHeight="1" x14ac:dyDescent="0.25"/>
    <row r="100" customFormat="1" ht="15.75" customHeight="1" x14ac:dyDescent="0.25"/>
    <row r="101" customFormat="1" ht="15.75" customHeight="1" x14ac:dyDescent="0.25"/>
    <row r="102" customFormat="1" ht="15.75" customHeight="1" x14ac:dyDescent="0.25"/>
    <row r="103" customFormat="1" ht="15.75" customHeight="1" x14ac:dyDescent="0.25"/>
    <row r="104" customFormat="1" ht="15.75" customHeight="1" x14ac:dyDescent="0.25"/>
    <row r="105" customFormat="1" ht="15.75" customHeight="1" x14ac:dyDescent="0.25"/>
    <row r="106" customFormat="1" ht="15.75" customHeight="1" x14ac:dyDescent="0.25"/>
    <row r="107" customFormat="1" ht="15.75" customHeight="1" x14ac:dyDescent="0.25"/>
    <row r="108" customFormat="1" ht="15.75" customHeight="1" x14ac:dyDescent="0.25"/>
    <row r="109" customFormat="1" ht="15.75" customHeight="1" x14ac:dyDescent="0.25"/>
    <row r="110" customFormat="1" ht="15.75" customHeight="1" x14ac:dyDescent="0.25"/>
    <row r="111" customFormat="1" ht="15.75" customHeight="1" x14ac:dyDescent="0.25"/>
    <row r="112" customFormat="1" ht="15.75" customHeight="1" x14ac:dyDescent="0.25"/>
    <row r="113" customFormat="1" ht="15.75" customHeight="1" x14ac:dyDescent="0.25"/>
    <row r="114" customFormat="1" ht="15.75" customHeight="1" x14ac:dyDescent="0.25"/>
    <row r="115" customFormat="1" ht="15.75" customHeight="1" x14ac:dyDescent="0.25"/>
    <row r="116" customFormat="1" ht="15.75" customHeight="1" x14ac:dyDescent="0.25"/>
    <row r="117" customFormat="1" ht="15.75" customHeight="1" x14ac:dyDescent="0.25"/>
    <row r="118" customFormat="1" ht="15.75" customHeight="1" x14ac:dyDescent="0.25"/>
    <row r="119" customFormat="1" ht="15.75" customHeight="1" x14ac:dyDescent="0.25"/>
    <row r="120" customFormat="1" ht="15.75" customHeight="1" x14ac:dyDescent="0.25"/>
    <row r="121" customFormat="1" ht="15.75" customHeight="1" x14ac:dyDescent="0.25"/>
    <row r="122" customFormat="1" ht="15.75" customHeight="1" x14ac:dyDescent="0.25"/>
    <row r="123" customFormat="1" ht="15.75" customHeight="1" x14ac:dyDescent="0.25"/>
    <row r="124" customFormat="1" ht="15.75" customHeight="1" x14ac:dyDescent="0.25"/>
    <row r="125" customFormat="1" ht="15.75" customHeight="1" x14ac:dyDescent="0.25"/>
    <row r="126" customFormat="1" ht="15.75" customHeight="1" x14ac:dyDescent="0.25"/>
    <row r="127" customFormat="1" ht="15.75" customHeight="1" x14ac:dyDescent="0.25"/>
    <row r="128" customFormat="1" ht="15.75" customHeight="1" x14ac:dyDescent="0.25"/>
    <row r="129" customFormat="1" ht="15.75" customHeight="1" x14ac:dyDescent="0.25"/>
    <row r="130" customFormat="1" ht="15.75" customHeight="1" x14ac:dyDescent="0.25"/>
    <row r="131" customFormat="1" ht="15.75" customHeight="1" x14ac:dyDescent="0.25"/>
    <row r="132" customFormat="1" ht="15.75" customHeight="1" x14ac:dyDescent="0.25"/>
    <row r="133" customFormat="1" ht="15.75" customHeight="1" x14ac:dyDescent="0.25"/>
    <row r="134" customFormat="1" ht="15.75" customHeight="1" x14ac:dyDescent="0.25"/>
    <row r="135" customFormat="1" ht="15.75" customHeight="1" x14ac:dyDescent="0.25"/>
    <row r="136" customFormat="1" ht="15.75" customHeight="1" x14ac:dyDescent="0.25"/>
    <row r="137" customFormat="1" ht="15.75" customHeight="1" x14ac:dyDescent="0.25"/>
    <row r="138" customFormat="1" ht="15.75" customHeight="1" x14ac:dyDescent="0.25"/>
    <row r="139" customFormat="1" ht="15.75" customHeight="1" x14ac:dyDescent="0.25"/>
    <row r="140" customFormat="1" ht="15.75" customHeight="1" x14ac:dyDescent="0.25"/>
    <row r="141" customFormat="1" ht="15.75" customHeight="1" x14ac:dyDescent="0.25"/>
    <row r="142" customFormat="1" ht="15.75" customHeight="1" x14ac:dyDescent="0.25"/>
    <row r="143" customFormat="1" ht="15.75" customHeight="1" x14ac:dyDescent="0.25"/>
    <row r="144" customFormat="1" ht="15.75" customHeight="1" x14ac:dyDescent="0.25"/>
    <row r="145" customFormat="1" ht="15.75" customHeight="1" x14ac:dyDescent="0.25"/>
    <row r="146" customFormat="1" ht="15.75" customHeight="1" x14ac:dyDescent="0.25"/>
    <row r="147" customFormat="1" ht="15.75" customHeight="1" x14ac:dyDescent="0.25"/>
    <row r="148" customFormat="1" ht="15.75" customHeight="1" x14ac:dyDescent="0.25"/>
    <row r="149" customFormat="1" ht="15.75" customHeight="1" x14ac:dyDescent="0.25"/>
    <row r="150" customFormat="1" ht="15.75" customHeight="1" x14ac:dyDescent="0.25"/>
    <row r="151" customFormat="1" ht="15.75" customHeight="1" x14ac:dyDescent="0.25"/>
    <row r="152" customFormat="1" ht="15.75" customHeight="1" x14ac:dyDescent="0.25"/>
    <row r="153" customFormat="1" ht="15.75" customHeight="1" x14ac:dyDescent="0.25"/>
    <row r="154" customFormat="1" ht="15.75" customHeight="1" x14ac:dyDescent="0.25"/>
    <row r="155" customFormat="1" ht="15.75" customHeight="1" x14ac:dyDescent="0.25"/>
    <row r="156" customFormat="1" ht="15.75" customHeight="1" x14ac:dyDescent="0.25"/>
    <row r="157" customFormat="1" ht="15.75" customHeight="1" x14ac:dyDescent="0.25"/>
    <row r="158" customFormat="1" ht="15.75" customHeight="1" x14ac:dyDescent="0.25"/>
    <row r="159" customFormat="1" ht="15.75" customHeight="1" x14ac:dyDescent="0.25"/>
    <row r="160" customFormat="1" ht="15.75" customHeight="1" x14ac:dyDescent="0.25"/>
    <row r="161" customFormat="1" ht="15.75" customHeight="1" x14ac:dyDescent="0.25"/>
    <row r="162" customFormat="1" ht="15.75" customHeight="1" x14ac:dyDescent="0.25"/>
    <row r="163" customFormat="1" ht="15.75" customHeight="1" x14ac:dyDescent="0.25"/>
    <row r="164" customFormat="1" ht="15.75" customHeight="1" x14ac:dyDescent="0.25"/>
    <row r="165" customFormat="1" ht="15.75" customHeight="1" x14ac:dyDescent="0.25"/>
    <row r="166" customFormat="1" ht="15.75" customHeight="1" x14ac:dyDescent="0.25"/>
    <row r="167" customFormat="1" ht="15.75" customHeight="1" x14ac:dyDescent="0.25"/>
    <row r="168" customFormat="1" ht="15.75" customHeight="1" x14ac:dyDescent="0.25"/>
    <row r="169" customFormat="1" ht="15.75" customHeight="1" x14ac:dyDescent="0.25"/>
    <row r="170" customFormat="1" ht="15.75" customHeight="1" x14ac:dyDescent="0.25"/>
    <row r="171" customFormat="1" ht="15.75" customHeight="1" x14ac:dyDescent="0.25"/>
    <row r="172" customFormat="1" ht="15.75" customHeight="1" x14ac:dyDescent="0.25"/>
    <row r="173" customFormat="1" ht="15.75" customHeight="1" x14ac:dyDescent="0.25"/>
    <row r="174" customFormat="1" ht="15.75" customHeight="1" x14ac:dyDescent="0.25"/>
    <row r="175" customFormat="1" ht="15.75" customHeight="1" x14ac:dyDescent="0.25"/>
    <row r="176" customFormat="1" ht="15.75" customHeight="1" x14ac:dyDescent="0.25"/>
    <row r="177" customFormat="1" ht="15.75" customHeight="1" x14ac:dyDescent="0.25"/>
    <row r="178" customFormat="1" ht="15.75" customHeight="1" x14ac:dyDescent="0.25"/>
    <row r="179" customFormat="1" ht="15.75" customHeight="1" x14ac:dyDescent="0.25"/>
    <row r="180" customFormat="1" ht="15.75" customHeight="1" x14ac:dyDescent="0.25"/>
    <row r="181" customFormat="1" ht="15.75" customHeight="1" x14ac:dyDescent="0.25"/>
    <row r="182" customFormat="1" ht="15.75" customHeight="1" x14ac:dyDescent="0.25"/>
    <row r="183" customFormat="1" ht="15.75" customHeight="1" x14ac:dyDescent="0.25"/>
    <row r="184" customFormat="1" ht="15.75" customHeight="1" x14ac:dyDescent="0.25"/>
    <row r="185" customFormat="1" ht="15.75" customHeight="1" x14ac:dyDescent="0.25"/>
    <row r="186" customFormat="1" ht="15.75" customHeight="1" x14ac:dyDescent="0.25"/>
    <row r="187" customFormat="1" ht="15.75" customHeight="1" x14ac:dyDescent="0.25"/>
    <row r="188" customFormat="1" ht="15.75" customHeight="1" x14ac:dyDescent="0.25"/>
    <row r="189" customFormat="1" ht="15.75" customHeight="1" x14ac:dyDescent="0.25"/>
    <row r="190" customFormat="1" ht="15.75" customHeight="1" x14ac:dyDescent="0.25"/>
    <row r="191" customFormat="1" ht="15.75" customHeight="1" x14ac:dyDescent="0.25"/>
    <row r="192" customFormat="1" ht="15.75" customHeight="1" x14ac:dyDescent="0.25"/>
    <row r="193" customFormat="1" ht="15.75" customHeight="1" x14ac:dyDescent="0.25"/>
    <row r="194" customFormat="1" ht="15.75" customHeight="1" x14ac:dyDescent="0.25"/>
    <row r="195" customFormat="1" ht="15.75" customHeight="1" x14ac:dyDescent="0.25"/>
    <row r="196" customFormat="1" ht="15.75" customHeight="1" x14ac:dyDescent="0.25"/>
    <row r="197" customFormat="1" ht="15.75" customHeight="1" x14ac:dyDescent="0.25"/>
    <row r="198" customFormat="1" ht="15.75" customHeight="1" x14ac:dyDescent="0.25"/>
    <row r="199" customFormat="1" ht="15.75" customHeight="1" x14ac:dyDescent="0.25"/>
    <row r="200" customFormat="1" ht="15.75" customHeight="1" x14ac:dyDescent="0.25"/>
    <row r="201" customFormat="1" ht="15.75" customHeight="1" x14ac:dyDescent="0.25"/>
    <row r="202" customFormat="1" ht="15.75" customHeight="1" x14ac:dyDescent="0.25"/>
    <row r="203" customFormat="1" ht="15.75" customHeight="1" x14ac:dyDescent="0.25"/>
    <row r="204" customFormat="1" ht="15.75" customHeight="1" x14ac:dyDescent="0.25"/>
    <row r="205" customFormat="1" ht="15.75" customHeight="1" x14ac:dyDescent="0.25"/>
    <row r="206" customFormat="1" ht="15.75" customHeight="1" x14ac:dyDescent="0.25"/>
    <row r="207" customFormat="1" ht="15.75" customHeight="1" x14ac:dyDescent="0.25"/>
    <row r="208" customFormat="1" ht="15.75" customHeight="1" x14ac:dyDescent="0.25"/>
    <row r="209" customFormat="1" ht="15.75" customHeight="1" x14ac:dyDescent="0.25"/>
    <row r="210" customFormat="1" ht="15.75" customHeight="1" x14ac:dyDescent="0.25"/>
    <row r="211" customFormat="1" ht="15.75" customHeight="1" x14ac:dyDescent="0.25"/>
    <row r="212" customFormat="1" ht="15.75" customHeight="1" x14ac:dyDescent="0.25"/>
    <row r="213" customFormat="1" ht="15.75" customHeight="1" x14ac:dyDescent="0.25"/>
    <row r="214" customFormat="1" ht="15.75" customHeight="1" x14ac:dyDescent="0.25"/>
    <row r="215" customFormat="1" ht="15.75" customHeight="1" x14ac:dyDescent="0.25"/>
    <row r="216" customFormat="1" ht="15.75" customHeight="1" x14ac:dyDescent="0.25"/>
    <row r="217" customFormat="1" ht="15.75" customHeight="1" x14ac:dyDescent="0.25"/>
    <row r="218" customFormat="1" ht="15.75" customHeight="1" x14ac:dyDescent="0.25"/>
    <row r="219" customFormat="1" ht="15.75" customHeight="1" x14ac:dyDescent="0.25"/>
    <row r="220" customFormat="1" ht="15.75" customHeight="1" x14ac:dyDescent="0.25"/>
    <row r="221" customFormat="1" ht="15.75" customHeight="1" x14ac:dyDescent="0.25"/>
    <row r="222" customFormat="1" ht="15.75" customHeight="1" x14ac:dyDescent="0.25"/>
    <row r="223" customFormat="1" ht="15.75" customHeight="1" x14ac:dyDescent="0.25"/>
    <row r="224" customFormat="1" ht="15.75" customHeight="1" x14ac:dyDescent="0.25"/>
    <row r="225" customFormat="1" ht="15.75" customHeight="1" x14ac:dyDescent="0.25"/>
    <row r="226" customFormat="1" ht="15.75" customHeight="1" x14ac:dyDescent="0.25"/>
    <row r="227" customFormat="1" ht="15.75" customHeight="1" x14ac:dyDescent="0.25"/>
    <row r="228" customFormat="1" ht="15.75" customHeight="1" x14ac:dyDescent="0.25"/>
    <row r="229" customFormat="1" ht="15.75" customHeight="1" x14ac:dyDescent="0.25"/>
    <row r="230" customFormat="1" ht="15.75" customHeight="1" x14ac:dyDescent="0.25"/>
    <row r="231" customFormat="1" ht="15.75" customHeight="1" x14ac:dyDescent="0.25"/>
    <row r="232" customFormat="1" ht="15.75" customHeight="1" x14ac:dyDescent="0.25"/>
    <row r="233" customFormat="1" ht="15.75" customHeight="1" x14ac:dyDescent="0.25"/>
    <row r="234" customFormat="1" ht="15.75" customHeight="1" x14ac:dyDescent="0.25"/>
    <row r="235" customFormat="1" ht="15.75" customHeight="1" x14ac:dyDescent="0.25"/>
    <row r="236" customFormat="1" ht="15.75" customHeight="1" x14ac:dyDescent="0.25"/>
    <row r="237" customFormat="1" ht="15.75" customHeight="1" x14ac:dyDescent="0.25"/>
    <row r="238" customFormat="1" ht="15.75" customHeight="1" x14ac:dyDescent="0.25"/>
    <row r="239" customFormat="1" ht="15.75" customHeight="1" x14ac:dyDescent="0.25"/>
    <row r="240" customFormat="1" ht="15.75" customHeight="1" x14ac:dyDescent="0.25"/>
    <row r="241" customFormat="1" ht="15.75" customHeight="1" x14ac:dyDescent="0.25"/>
    <row r="242" customFormat="1" ht="15.75" customHeight="1" x14ac:dyDescent="0.25"/>
    <row r="243" customFormat="1" ht="15.75" customHeight="1" x14ac:dyDescent="0.25"/>
    <row r="244" customFormat="1" ht="15.75" customHeight="1" x14ac:dyDescent="0.25"/>
    <row r="245" customFormat="1" ht="15.75" customHeight="1" x14ac:dyDescent="0.25"/>
    <row r="246" customFormat="1" ht="15.75" customHeight="1" x14ac:dyDescent="0.25"/>
    <row r="247" customFormat="1" ht="15.75" customHeight="1" x14ac:dyDescent="0.25"/>
    <row r="248" customFormat="1" ht="15.75" customHeight="1" x14ac:dyDescent="0.25"/>
    <row r="249" customFormat="1" ht="15.75" customHeight="1" x14ac:dyDescent="0.25"/>
    <row r="250" customFormat="1" ht="15.75" customHeight="1" x14ac:dyDescent="0.25"/>
    <row r="251" customFormat="1" ht="15.75" customHeight="1" x14ac:dyDescent="0.25"/>
    <row r="252" customFormat="1" ht="15.75" customHeight="1" x14ac:dyDescent="0.25"/>
    <row r="253" customFormat="1" ht="15.75" customHeight="1" x14ac:dyDescent="0.25"/>
    <row r="254" customFormat="1" ht="15.75" customHeight="1" x14ac:dyDescent="0.25"/>
    <row r="255" customFormat="1" ht="15.75" customHeight="1" x14ac:dyDescent="0.25"/>
    <row r="256" customFormat="1" ht="15.75" customHeight="1" x14ac:dyDescent="0.25"/>
    <row r="257" customFormat="1" ht="15.75" customHeight="1" x14ac:dyDescent="0.25"/>
    <row r="258" customFormat="1" ht="15.75" customHeight="1" x14ac:dyDescent="0.25"/>
    <row r="259" customFormat="1" ht="15.75" customHeight="1" x14ac:dyDescent="0.25"/>
    <row r="260" customFormat="1" ht="15.75" customHeight="1" x14ac:dyDescent="0.25"/>
    <row r="261" customFormat="1" ht="15.75" customHeight="1" x14ac:dyDescent="0.25"/>
    <row r="262" customFormat="1" ht="15.75" customHeight="1" x14ac:dyDescent="0.25"/>
    <row r="263" customFormat="1" ht="15.75" customHeight="1" x14ac:dyDescent="0.25"/>
    <row r="264" customFormat="1" ht="15.75" customHeight="1" x14ac:dyDescent="0.25"/>
    <row r="265" customFormat="1" ht="15.75" customHeight="1" x14ac:dyDescent="0.25"/>
    <row r="266" customFormat="1" ht="15.75" customHeight="1" x14ac:dyDescent="0.25"/>
    <row r="267" customFormat="1" ht="15.75" customHeight="1" x14ac:dyDescent="0.25"/>
    <row r="268" customFormat="1" ht="15.75" customHeight="1" x14ac:dyDescent="0.25"/>
    <row r="269" customFormat="1" ht="15.75" customHeight="1" x14ac:dyDescent="0.25"/>
    <row r="270" customFormat="1" ht="15.75" customHeight="1" x14ac:dyDescent="0.25"/>
    <row r="271" customFormat="1" ht="15.75" customHeight="1" x14ac:dyDescent="0.25"/>
    <row r="272" customFormat="1" ht="15.75" customHeight="1" x14ac:dyDescent="0.25"/>
    <row r="273" customFormat="1" ht="15.75" customHeight="1" x14ac:dyDescent="0.25"/>
    <row r="274" customFormat="1" ht="15.75" customHeight="1" x14ac:dyDescent="0.25"/>
    <row r="275" customFormat="1" ht="15.75" customHeight="1" x14ac:dyDescent="0.25"/>
    <row r="276" customFormat="1" ht="15.75" customHeight="1" x14ac:dyDescent="0.25"/>
    <row r="277" customFormat="1" ht="15.75" customHeight="1" x14ac:dyDescent="0.25"/>
    <row r="278" customFormat="1" ht="15.75" customHeight="1" x14ac:dyDescent="0.25"/>
    <row r="279" customFormat="1" ht="15.75" customHeight="1" x14ac:dyDescent="0.25"/>
    <row r="280" customFormat="1" ht="15.75" customHeight="1" x14ac:dyDescent="0.25"/>
    <row r="281" customFormat="1" ht="15.75" customHeight="1" x14ac:dyDescent="0.25"/>
    <row r="282" customFormat="1" ht="15.75" customHeight="1" x14ac:dyDescent="0.25"/>
    <row r="283" customFormat="1" ht="15.75" customHeight="1" x14ac:dyDescent="0.25"/>
    <row r="284" customFormat="1" ht="15.75" customHeight="1" x14ac:dyDescent="0.25"/>
    <row r="285" customFormat="1" ht="15.75" customHeight="1" x14ac:dyDescent="0.25"/>
    <row r="286" customFormat="1" ht="15.75" customHeight="1" x14ac:dyDescent="0.25"/>
    <row r="287" customFormat="1" ht="15.75" customHeight="1" x14ac:dyDescent="0.25"/>
    <row r="288" customFormat="1" ht="15.75" customHeight="1" x14ac:dyDescent="0.25"/>
    <row r="289" customFormat="1" ht="15.75" customHeight="1" x14ac:dyDescent="0.25"/>
    <row r="290" customFormat="1" ht="15.75" customHeight="1" x14ac:dyDescent="0.25"/>
    <row r="291" customFormat="1" ht="15.75" customHeight="1" x14ac:dyDescent="0.25"/>
    <row r="292" customFormat="1" ht="15.75" customHeight="1" x14ac:dyDescent="0.25"/>
    <row r="293" customFormat="1" ht="15.75" customHeight="1" x14ac:dyDescent="0.25"/>
    <row r="294" customFormat="1" ht="15.75" customHeight="1" x14ac:dyDescent="0.25"/>
    <row r="295" customFormat="1" ht="15.75" customHeight="1" x14ac:dyDescent="0.25"/>
    <row r="296" customFormat="1" ht="15.75" customHeight="1" x14ac:dyDescent="0.25"/>
    <row r="297" customFormat="1" ht="15.75" customHeight="1" x14ac:dyDescent="0.25"/>
    <row r="298" customFormat="1" ht="15.75" customHeight="1" x14ac:dyDescent="0.25"/>
    <row r="299" customFormat="1" ht="15.75" customHeight="1" x14ac:dyDescent="0.25"/>
    <row r="300" customFormat="1" ht="15.75" customHeight="1" x14ac:dyDescent="0.25"/>
    <row r="301" customFormat="1" ht="15.75" customHeight="1" x14ac:dyDescent="0.25"/>
    <row r="302" customFormat="1" ht="15.75" customHeight="1" x14ac:dyDescent="0.25"/>
    <row r="303" customFormat="1" ht="15.75" customHeight="1" x14ac:dyDescent="0.25"/>
    <row r="304" customFormat="1" ht="15.75" customHeight="1" x14ac:dyDescent="0.25"/>
    <row r="305" customFormat="1" ht="15.75" customHeight="1" x14ac:dyDescent="0.25"/>
    <row r="306" customFormat="1" ht="15.75" customHeight="1" x14ac:dyDescent="0.25"/>
    <row r="307" customFormat="1" ht="15.75" customHeight="1" x14ac:dyDescent="0.25"/>
    <row r="308" customFormat="1" ht="15.75" customHeight="1" x14ac:dyDescent="0.25"/>
    <row r="309" customFormat="1" ht="15.75" customHeight="1" x14ac:dyDescent="0.25"/>
    <row r="310" customFormat="1" ht="15.75" customHeight="1" x14ac:dyDescent="0.25"/>
    <row r="311" customFormat="1" ht="15.75" customHeight="1" x14ac:dyDescent="0.25"/>
    <row r="312" customFormat="1" ht="15.75" customHeight="1" x14ac:dyDescent="0.25"/>
    <row r="313" customFormat="1" ht="15.75" customHeight="1" x14ac:dyDescent="0.25"/>
    <row r="314" customFormat="1" ht="15.75" customHeight="1" x14ac:dyDescent="0.25"/>
    <row r="315" customFormat="1" ht="15.75" customHeight="1" x14ac:dyDescent="0.25"/>
    <row r="316" customFormat="1" ht="15.75" customHeight="1" x14ac:dyDescent="0.25"/>
    <row r="317" customFormat="1" ht="15.75" customHeight="1" x14ac:dyDescent="0.25"/>
    <row r="318" customFormat="1" ht="15.75" customHeight="1" x14ac:dyDescent="0.25"/>
    <row r="319" customFormat="1" ht="15.75" customHeight="1" x14ac:dyDescent="0.25"/>
    <row r="320" customFormat="1" ht="15.75" customHeight="1" x14ac:dyDescent="0.25"/>
    <row r="321" customFormat="1" ht="15.75" customHeight="1" x14ac:dyDescent="0.25"/>
    <row r="322" customFormat="1" ht="15.75" customHeight="1" x14ac:dyDescent="0.25"/>
    <row r="323" customFormat="1" ht="15.75" customHeight="1" x14ac:dyDescent="0.25"/>
    <row r="324" customFormat="1" ht="15.75" customHeight="1" x14ac:dyDescent="0.25"/>
    <row r="325" customFormat="1" ht="15.75" customHeight="1" x14ac:dyDescent="0.25"/>
    <row r="326" customFormat="1" ht="15.75" customHeight="1" x14ac:dyDescent="0.25"/>
    <row r="327" customFormat="1" ht="15.75" customHeight="1" x14ac:dyDescent="0.25"/>
    <row r="328" customFormat="1" ht="15.75" customHeight="1" x14ac:dyDescent="0.25"/>
    <row r="329" customFormat="1" ht="15.75" customHeight="1" x14ac:dyDescent="0.25"/>
    <row r="330" customFormat="1" ht="15.75" customHeight="1" x14ac:dyDescent="0.25"/>
    <row r="331" customFormat="1" ht="15.75" customHeight="1" x14ac:dyDescent="0.25"/>
    <row r="332" customFormat="1" ht="15.75" customHeight="1" x14ac:dyDescent="0.25"/>
    <row r="333" customFormat="1" ht="15.75" customHeight="1" x14ac:dyDescent="0.25"/>
    <row r="334" customFormat="1" ht="15.75" customHeight="1" x14ac:dyDescent="0.25"/>
    <row r="335" customFormat="1" ht="15.75" customHeight="1" x14ac:dyDescent="0.25"/>
    <row r="336" customFormat="1" ht="15.75" customHeight="1" x14ac:dyDescent="0.25"/>
    <row r="337" customFormat="1" ht="15.75" customHeight="1" x14ac:dyDescent="0.25"/>
    <row r="338" customFormat="1" ht="15.75" customHeight="1" x14ac:dyDescent="0.25"/>
    <row r="339" customFormat="1" ht="15.75" customHeight="1" x14ac:dyDescent="0.25"/>
    <row r="340" customFormat="1" ht="15.75" customHeight="1" x14ac:dyDescent="0.25"/>
    <row r="341" customFormat="1" ht="15.75" customHeight="1" x14ac:dyDescent="0.25"/>
    <row r="342" customFormat="1" ht="15.75" customHeight="1" x14ac:dyDescent="0.25"/>
    <row r="343" customFormat="1" ht="15.75" customHeight="1" x14ac:dyDescent="0.25"/>
    <row r="344" customFormat="1" ht="15.75" customHeight="1" x14ac:dyDescent="0.25"/>
    <row r="345" customFormat="1" ht="15.75" customHeight="1" x14ac:dyDescent="0.25"/>
    <row r="346" customFormat="1" ht="15.75" customHeight="1" x14ac:dyDescent="0.25"/>
    <row r="347" customFormat="1" ht="15.75" customHeight="1" x14ac:dyDescent="0.25"/>
    <row r="348" customFormat="1" ht="15.75" customHeight="1" x14ac:dyDescent="0.25"/>
    <row r="349" customFormat="1" ht="15.75" customHeight="1" x14ac:dyDescent="0.25"/>
    <row r="350" customFormat="1" ht="15.75" customHeight="1" x14ac:dyDescent="0.25"/>
    <row r="351" customFormat="1" ht="15.75" customHeight="1" x14ac:dyDescent="0.25"/>
    <row r="352" customFormat="1" ht="15.75" customHeight="1" x14ac:dyDescent="0.25"/>
    <row r="353" customFormat="1" ht="15.75" customHeight="1" x14ac:dyDescent="0.25"/>
    <row r="354" customFormat="1" ht="15.75" customHeight="1" x14ac:dyDescent="0.25"/>
    <row r="355" customFormat="1" ht="15.75" customHeight="1" x14ac:dyDescent="0.25"/>
    <row r="356" customFormat="1" ht="15.75" customHeight="1" x14ac:dyDescent="0.25"/>
    <row r="357" customFormat="1" ht="15.75" customHeight="1" x14ac:dyDescent="0.25"/>
    <row r="358" customFormat="1" ht="15.75" customHeight="1" x14ac:dyDescent="0.25"/>
    <row r="359" customFormat="1" ht="15.75" customHeight="1" x14ac:dyDescent="0.25"/>
    <row r="360" customFormat="1" ht="15.75" customHeight="1" x14ac:dyDescent="0.25"/>
    <row r="361" customFormat="1" ht="15.75" customHeight="1" x14ac:dyDescent="0.25"/>
    <row r="362" customFormat="1" ht="15.75" customHeight="1" x14ac:dyDescent="0.25"/>
    <row r="363" customFormat="1" ht="15.75" customHeight="1" x14ac:dyDescent="0.25"/>
    <row r="364" customFormat="1" ht="15.75" customHeight="1" x14ac:dyDescent="0.25"/>
    <row r="365" customFormat="1" ht="15.75" customHeight="1" x14ac:dyDescent="0.25"/>
    <row r="366" customFormat="1" ht="15.75" customHeight="1" x14ac:dyDescent="0.25"/>
    <row r="367" customFormat="1" ht="15.75" customHeight="1" x14ac:dyDescent="0.25"/>
    <row r="368" customFormat="1" ht="15.75" customHeight="1" x14ac:dyDescent="0.25"/>
    <row r="369" customFormat="1" ht="15.75" customHeight="1" x14ac:dyDescent="0.25"/>
    <row r="370" customFormat="1" ht="15.75" customHeight="1" x14ac:dyDescent="0.25"/>
    <row r="371" customFormat="1" ht="15.75" customHeight="1" x14ac:dyDescent="0.25"/>
    <row r="372" customFormat="1" ht="15.75" customHeight="1" x14ac:dyDescent="0.25"/>
    <row r="373" customFormat="1" ht="15.75" customHeight="1" x14ac:dyDescent="0.25"/>
    <row r="374" customFormat="1" ht="15.75" customHeight="1" x14ac:dyDescent="0.25"/>
    <row r="375" customFormat="1" ht="15.75" customHeight="1" x14ac:dyDescent="0.25"/>
    <row r="376" customFormat="1" ht="15.75" customHeight="1" x14ac:dyDescent="0.25"/>
    <row r="377" customFormat="1" ht="15.75" customHeight="1" x14ac:dyDescent="0.25"/>
    <row r="378" customFormat="1" ht="15.75" customHeight="1" x14ac:dyDescent="0.25"/>
    <row r="379" customFormat="1" ht="15.75" customHeight="1" x14ac:dyDescent="0.25"/>
    <row r="380" customFormat="1" ht="15.75" customHeight="1" x14ac:dyDescent="0.25"/>
    <row r="381" customFormat="1" ht="15.75" customHeight="1" x14ac:dyDescent="0.25"/>
    <row r="382" customFormat="1" ht="15.75" customHeight="1" x14ac:dyDescent="0.25"/>
    <row r="383" customFormat="1" ht="15.75" customHeight="1" x14ac:dyDescent="0.25"/>
    <row r="384" customFormat="1" ht="15.75" customHeight="1" x14ac:dyDescent="0.25"/>
    <row r="385" customFormat="1" ht="15.75" customHeight="1" x14ac:dyDescent="0.25"/>
    <row r="386" customFormat="1" ht="15.75" customHeight="1" x14ac:dyDescent="0.25"/>
    <row r="387" customFormat="1" ht="15.75" customHeight="1" x14ac:dyDescent="0.25"/>
    <row r="388" customFormat="1" ht="15.75" customHeight="1" x14ac:dyDescent="0.25"/>
    <row r="389" customFormat="1" ht="15.75" customHeight="1" x14ac:dyDescent="0.25"/>
    <row r="390" customFormat="1" ht="15.75" customHeight="1" x14ac:dyDescent="0.25"/>
    <row r="391" customFormat="1" ht="15.75" customHeight="1" x14ac:dyDescent="0.25"/>
    <row r="392" customFormat="1" ht="15.75" customHeight="1" x14ac:dyDescent="0.25"/>
    <row r="393" customFormat="1" ht="15.75" customHeight="1" x14ac:dyDescent="0.25"/>
    <row r="394" customFormat="1" ht="15.75" customHeight="1" x14ac:dyDescent="0.25"/>
    <row r="395" customFormat="1" ht="15.75" customHeight="1" x14ac:dyDescent="0.25"/>
    <row r="396" customFormat="1" ht="15.75" customHeight="1" x14ac:dyDescent="0.25"/>
    <row r="397" customFormat="1" ht="15.75" customHeight="1" x14ac:dyDescent="0.25"/>
    <row r="398" customFormat="1" ht="15.75" customHeight="1" x14ac:dyDescent="0.25"/>
    <row r="399" customFormat="1" ht="15.75" customHeight="1" x14ac:dyDescent="0.25"/>
    <row r="400" customFormat="1" ht="15.75" customHeight="1" x14ac:dyDescent="0.25"/>
    <row r="401" customFormat="1" ht="15.75" customHeight="1" x14ac:dyDescent="0.25"/>
    <row r="402" customFormat="1" ht="15.75" customHeight="1" x14ac:dyDescent="0.25"/>
    <row r="403" customFormat="1" ht="15.75" customHeight="1" x14ac:dyDescent="0.25"/>
    <row r="404" customFormat="1" ht="15.75" customHeight="1" x14ac:dyDescent="0.25"/>
    <row r="405" customFormat="1" ht="15.75" customHeight="1" x14ac:dyDescent="0.25"/>
    <row r="406" customFormat="1" ht="15.75" customHeight="1" x14ac:dyDescent="0.25"/>
    <row r="407" customFormat="1" ht="15.75" customHeight="1" x14ac:dyDescent="0.25"/>
    <row r="408" customFormat="1" ht="15.75" customHeight="1" x14ac:dyDescent="0.25"/>
    <row r="409" customFormat="1" ht="15.75" customHeight="1" x14ac:dyDescent="0.25"/>
    <row r="410" customFormat="1" ht="15.75" customHeight="1" x14ac:dyDescent="0.25"/>
    <row r="411" customFormat="1" ht="15.75" customHeight="1" x14ac:dyDescent="0.25"/>
    <row r="412" customFormat="1" ht="15.75" customHeight="1" x14ac:dyDescent="0.25"/>
    <row r="413" customFormat="1" ht="15.75" customHeight="1" x14ac:dyDescent="0.25"/>
    <row r="414" customFormat="1" ht="15.75" customHeight="1" x14ac:dyDescent="0.25"/>
    <row r="415" customFormat="1" ht="15.75" customHeight="1" x14ac:dyDescent="0.25"/>
    <row r="416" customFormat="1" ht="15.75" customHeight="1" x14ac:dyDescent="0.25"/>
    <row r="417" customFormat="1" ht="15.75" customHeight="1" x14ac:dyDescent="0.25"/>
    <row r="418" customFormat="1" ht="15.75" customHeight="1" x14ac:dyDescent="0.25"/>
    <row r="419" customFormat="1" ht="15.75" customHeight="1" x14ac:dyDescent="0.25"/>
    <row r="420" customFormat="1" ht="15.75" customHeight="1" x14ac:dyDescent="0.25"/>
    <row r="421" customFormat="1" ht="15.75" customHeight="1" x14ac:dyDescent="0.25"/>
    <row r="422" customFormat="1" ht="15.75" customHeight="1" x14ac:dyDescent="0.25"/>
    <row r="423" customFormat="1" ht="15.75" customHeight="1" x14ac:dyDescent="0.25"/>
    <row r="424" customFormat="1" ht="15.75" customHeight="1" x14ac:dyDescent="0.25"/>
    <row r="425" customFormat="1" ht="15.75" customHeight="1" x14ac:dyDescent="0.25"/>
    <row r="426" customFormat="1" ht="15.75" customHeight="1" x14ac:dyDescent="0.25"/>
    <row r="427" customFormat="1" ht="15.75" customHeight="1" x14ac:dyDescent="0.25"/>
    <row r="428" customFormat="1" ht="15.75" customHeight="1" x14ac:dyDescent="0.25"/>
    <row r="429" customFormat="1" ht="15.75" customHeight="1" x14ac:dyDescent="0.25"/>
    <row r="430" customFormat="1" ht="15.75" customHeight="1" x14ac:dyDescent="0.25"/>
    <row r="431" customFormat="1" ht="15.75" customHeight="1" x14ac:dyDescent="0.25"/>
    <row r="432" customFormat="1" ht="15.75" customHeight="1" x14ac:dyDescent="0.25"/>
    <row r="433" customFormat="1" ht="15.75" customHeight="1" x14ac:dyDescent="0.25"/>
    <row r="434" customFormat="1" ht="15.75" customHeight="1" x14ac:dyDescent="0.25"/>
    <row r="435" customFormat="1" ht="15.75" customHeight="1" x14ac:dyDescent="0.25"/>
    <row r="436" customFormat="1" ht="15.75" customHeight="1" x14ac:dyDescent="0.25"/>
    <row r="437" customFormat="1" ht="15.75" customHeight="1" x14ac:dyDescent="0.25"/>
    <row r="438" customFormat="1" ht="15.75" customHeight="1" x14ac:dyDescent="0.25"/>
    <row r="439" customFormat="1" ht="15.75" customHeight="1" x14ac:dyDescent="0.25"/>
    <row r="440" customFormat="1" ht="15.75" customHeight="1" x14ac:dyDescent="0.25"/>
    <row r="441" customFormat="1" ht="15.75" customHeight="1" x14ac:dyDescent="0.25"/>
    <row r="442" customFormat="1" ht="15.75" customHeight="1" x14ac:dyDescent="0.25"/>
    <row r="443" customFormat="1" ht="15.75" customHeight="1" x14ac:dyDescent="0.25"/>
    <row r="444" customFormat="1" ht="15.75" customHeight="1" x14ac:dyDescent="0.25"/>
    <row r="445" customFormat="1" ht="15.75" customHeight="1" x14ac:dyDescent="0.25"/>
    <row r="446" customFormat="1" ht="15.75" customHeight="1" x14ac:dyDescent="0.25"/>
    <row r="447" customFormat="1" ht="15.75" customHeight="1" x14ac:dyDescent="0.25"/>
    <row r="448" customFormat="1" ht="15.75" customHeight="1" x14ac:dyDescent="0.25"/>
    <row r="449" customFormat="1" ht="15.75" customHeight="1" x14ac:dyDescent="0.25"/>
    <row r="450" customFormat="1" ht="15.75" customHeight="1" x14ac:dyDescent="0.25"/>
    <row r="451" customFormat="1" ht="15.75" customHeight="1" x14ac:dyDescent="0.25"/>
    <row r="452" customFormat="1" ht="15.75" customHeight="1" x14ac:dyDescent="0.25"/>
    <row r="453" customFormat="1" ht="15.75" customHeight="1" x14ac:dyDescent="0.25"/>
    <row r="454" customFormat="1" ht="15.75" customHeight="1" x14ac:dyDescent="0.25"/>
    <row r="455" customFormat="1" ht="15.75" customHeight="1" x14ac:dyDescent="0.25"/>
    <row r="456" customFormat="1" ht="15.75" customHeight="1" x14ac:dyDescent="0.25"/>
    <row r="457" customFormat="1" ht="15.75" customHeight="1" x14ac:dyDescent="0.25"/>
    <row r="458" customFormat="1" ht="15.75" customHeight="1" x14ac:dyDescent="0.25"/>
    <row r="459" customFormat="1" ht="15.75" customHeight="1" x14ac:dyDescent="0.25"/>
    <row r="460" customFormat="1" ht="15.75" customHeight="1" x14ac:dyDescent="0.25"/>
    <row r="461" customFormat="1" ht="15.75" customHeight="1" x14ac:dyDescent="0.25"/>
    <row r="462" customFormat="1" ht="15.75" customHeight="1" x14ac:dyDescent="0.25"/>
    <row r="463" customFormat="1" ht="15.75" customHeight="1" x14ac:dyDescent="0.25"/>
    <row r="464" customFormat="1" ht="15.75" customHeight="1" x14ac:dyDescent="0.25"/>
    <row r="465" customFormat="1" ht="15.75" customHeight="1" x14ac:dyDescent="0.25"/>
    <row r="466" customFormat="1" ht="15.75" customHeight="1" x14ac:dyDescent="0.25"/>
    <row r="467" customFormat="1" ht="15.75" customHeight="1" x14ac:dyDescent="0.25"/>
    <row r="468" customFormat="1" ht="15.75" customHeight="1" x14ac:dyDescent="0.25"/>
    <row r="469" customFormat="1" ht="15.75" customHeight="1" x14ac:dyDescent="0.25"/>
    <row r="470" customFormat="1" ht="15.75" customHeight="1" x14ac:dyDescent="0.25"/>
    <row r="471" customFormat="1" ht="15.75" customHeight="1" x14ac:dyDescent="0.25"/>
    <row r="472" customFormat="1" ht="15.75" customHeight="1" x14ac:dyDescent="0.25"/>
    <row r="473" customFormat="1" ht="15.75" customHeight="1" x14ac:dyDescent="0.25"/>
    <row r="474" customFormat="1" ht="15.75" customHeight="1" x14ac:dyDescent="0.25"/>
    <row r="475" customFormat="1" ht="15.75" customHeight="1" x14ac:dyDescent="0.25"/>
    <row r="476" customFormat="1" ht="15.75" customHeight="1" x14ac:dyDescent="0.25"/>
    <row r="477" customFormat="1" ht="15.75" customHeight="1" x14ac:dyDescent="0.25"/>
    <row r="478" customFormat="1" ht="15.75" customHeight="1" x14ac:dyDescent="0.25"/>
    <row r="479" customFormat="1" ht="15.75" customHeight="1" x14ac:dyDescent="0.25"/>
    <row r="480" customFormat="1" ht="15.75" customHeight="1" x14ac:dyDescent="0.25"/>
    <row r="481" customFormat="1" ht="15.75" customHeight="1" x14ac:dyDescent="0.25"/>
    <row r="482" customFormat="1" ht="15.75" customHeight="1" x14ac:dyDescent="0.25"/>
    <row r="483" customFormat="1" ht="15.75" customHeight="1" x14ac:dyDescent="0.25"/>
    <row r="484" customFormat="1" ht="15.75" customHeight="1" x14ac:dyDescent="0.25"/>
    <row r="485" customFormat="1" ht="15.75" customHeight="1" x14ac:dyDescent="0.25"/>
    <row r="486" customFormat="1" ht="15.75" customHeight="1" x14ac:dyDescent="0.25"/>
    <row r="487" customFormat="1" ht="15.75" customHeight="1" x14ac:dyDescent="0.25"/>
    <row r="488" customFormat="1" ht="15.75" customHeight="1" x14ac:dyDescent="0.25"/>
    <row r="489" customFormat="1" ht="15.75" customHeight="1" x14ac:dyDescent="0.25"/>
    <row r="490" customFormat="1" ht="15.75" customHeight="1" x14ac:dyDescent="0.25"/>
    <row r="491" customFormat="1" ht="15.75" customHeight="1" x14ac:dyDescent="0.25"/>
    <row r="492" customFormat="1" ht="15.75" customHeight="1" x14ac:dyDescent="0.25"/>
    <row r="493" customFormat="1" ht="15.75" customHeight="1" x14ac:dyDescent="0.25"/>
    <row r="494" customFormat="1" ht="15.75" customHeight="1" x14ac:dyDescent="0.25"/>
    <row r="495" customFormat="1" ht="15.75" customHeight="1" x14ac:dyDescent="0.25"/>
    <row r="496" customFormat="1" ht="15.75" customHeight="1" x14ac:dyDescent="0.25"/>
    <row r="497" customFormat="1" ht="15.75" customHeight="1" x14ac:dyDescent="0.25"/>
    <row r="498" customFormat="1" ht="15.75" customHeight="1" x14ac:dyDescent="0.25"/>
    <row r="499" customFormat="1" ht="15.75" customHeight="1" x14ac:dyDescent="0.25"/>
    <row r="500" customFormat="1" ht="15.75" customHeight="1" x14ac:dyDescent="0.25"/>
    <row r="501" customFormat="1" ht="15.75" customHeight="1" x14ac:dyDescent="0.25"/>
    <row r="502" customFormat="1" ht="15.75" customHeight="1" x14ac:dyDescent="0.25"/>
    <row r="503" customFormat="1" ht="15.75" customHeight="1" x14ac:dyDescent="0.25"/>
    <row r="504" customFormat="1" ht="15.75" customHeight="1" x14ac:dyDescent="0.25"/>
    <row r="505" customFormat="1" ht="15.75" customHeight="1" x14ac:dyDescent="0.25"/>
    <row r="506" customFormat="1" ht="15.75" customHeight="1" x14ac:dyDescent="0.25"/>
    <row r="507" customFormat="1" ht="15.75" customHeight="1" x14ac:dyDescent="0.25"/>
    <row r="508" customFormat="1" ht="15.75" customHeight="1" x14ac:dyDescent="0.25"/>
    <row r="509" customFormat="1" ht="15.75" customHeight="1" x14ac:dyDescent="0.25"/>
    <row r="510" customFormat="1" ht="15.75" customHeight="1" x14ac:dyDescent="0.25"/>
    <row r="511" customFormat="1" ht="15.75" customHeight="1" x14ac:dyDescent="0.25"/>
    <row r="512" customFormat="1" ht="15.75" customHeight="1" x14ac:dyDescent="0.25"/>
    <row r="513" customFormat="1" ht="15.75" customHeight="1" x14ac:dyDescent="0.25"/>
    <row r="514" customFormat="1" ht="15.75" customHeight="1" x14ac:dyDescent="0.25"/>
    <row r="515" customFormat="1" ht="15.75" customHeight="1" x14ac:dyDescent="0.25"/>
    <row r="516" customFormat="1" ht="15.75" customHeight="1" x14ac:dyDescent="0.25"/>
    <row r="517" customFormat="1" ht="15.75" customHeight="1" x14ac:dyDescent="0.25"/>
    <row r="518" customFormat="1" ht="15.75" customHeight="1" x14ac:dyDescent="0.25"/>
    <row r="519" customFormat="1" ht="15.75" customHeight="1" x14ac:dyDescent="0.25"/>
    <row r="520" customFormat="1" ht="15.75" customHeight="1" x14ac:dyDescent="0.25"/>
    <row r="521" customFormat="1" ht="15.75" customHeight="1" x14ac:dyDescent="0.25"/>
    <row r="522" customFormat="1" ht="15.75" customHeight="1" x14ac:dyDescent="0.25"/>
    <row r="523" customFormat="1" ht="15.75" customHeight="1" x14ac:dyDescent="0.25"/>
    <row r="524" customFormat="1" ht="15.75" customHeight="1" x14ac:dyDescent="0.25"/>
    <row r="525" customFormat="1" ht="15.75" customHeight="1" x14ac:dyDescent="0.25"/>
    <row r="526" customFormat="1" ht="15.75" customHeight="1" x14ac:dyDescent="0.25"/>
    <row r="527" customFormat="1" ht="15.75" customHeight="1" x14ac:dyDescent="0.25"/>
    <row r="528" customFormat="1" ht="15.75" customHeight="1" x14ac:dyDescent="0.25"/>
    <row r="529" customFormat="1" ht="15.75" customHeight="1" x14ac:dyDescent="0.25"/>
    <row r="530" customFormat="1" ht="15.75" customHeight="1" x14ac:dyDescent="0.25"/>
    <row r="531" customFormat="1" ht="15.75" customHeight="1" x14ac:dyDescent="0.25"/>
    <row r="532" customFormat="1" ht="15.75" customHeight="1" x14ac:dyDescent="0.25"/>
    <row r="533" customFormat="1" ht="15.75" customHeight="1" x14ac:dyDescent="0.25"/>
    <row r="534" customFormat="1" ht="15.75" customHeight="1" x14ac:dyDescent="0.25"/>
    <row r="535" customFormat="1" ht="15.75" customHeight="1" x14ac:dyDescent="0.25"/>
    <row r="536" customFormat="1" ht="15.75" customHeight="1" x14ac:dyDescent="0.25"/>
    <row r="537" customFormat="1" ht="15.75" customHeight="1" x14ac:dyDescent="0.25"/>
    <row r="538" customFormat="1" ht="15.75" customHeight="1" x14ac:dyDescent="0.25"/>
    <row r="539" customFormat="1" ht="15.75" customHeight="1" x14ac:dyDescent="0.25"/>
    <row r="540" customFormat="1" ht="15.75" customHeight="1" x14ac:dyDescent="0.25"/>
    <row r="541" customFormat="1" ht="15.75" customHeight="1" x14ac:dyDescent="0.25"/>
    <row r="542" customFormat="1" ht="15.75" customHeight="1" x14ac:dyDescent="0.25"/>
    <row r="543" customFormat="1" ht="15.75" customHeight="1" x14ac:dyDescent="0.25"/>
    <row r="544" customFormat="1" ht="15.75" customHeight="1" x14ac:dyDescent="0.25"/>
    <row r="545" customFormat="1" ht="15.75" customHeight="1" x14ac:dyDescent="0.25"/>
    <row r="546" customFormat="1" ht="15.75" customHeight="1" x14ac:dyDescent="0.25"/>
    <row r="547" customFormat="1" ht="15.75" customHeight="1" x14ac:dyDescent="0.25"/>
    <row r="548" customFormat="1" ht="15.75" customHeight="1" x14ac:dyDescent="0.25"/>
    <row r="549" customFormat="1" ht="15.75" customHeight="1" x14ac:dyDescent="0.25"/>
    <row r="550" customFormat="1" ht="15.75" customHeight="1" x14ac:dyDescent="0.25"/>
    <row r="551" customFormat="1" ht="15.75" customHeight="1" x14ac:dyDescent="0.25"/>
    <row r="552" customFormat="1" ht="15.75" customHeight="1" x14ac:dyDescent="0.25"/>
    <row r="553" customFormat="1" ht="15.75" customHeight="1" x14ac:dyDescent="0.25"/>
    <row r="554" customFormat="1" ht="15.75" customHeight="1" x14ac:dyDescent="0.25"/>
    <row r="555" customFormat="1" ht="15.75" customHeight="1" x14ac:dyDescent="0.25"/>
    <row r="556" customFormat="1" ht="15.75" customHeight="1" x14ac:dyDescent="0.25"/>
    <row r="557" customFormat="1" ht="15.75" customHeight="1" x14ac:dyDescent="0.25"/>
    <row r="558" customFormat="1" ht="15.75" customHeight="1" x14ac:dyDescent="0.25"/>
    <row r="559" customFormat="1" ht="15.75" customHeight="1" x14ac:dyDescent="0.25"/>
    <row r="560" customFormat="1" ht="15.75" customHeight="1" x14ac:dyDescent="0.25"/>
    <row r="561" customFormat="1" ht="15.75" customHeight="1" x14ac:dyDescent="0.25"/>
    <row r="562" customFormat="1" ht="15.75" customHeight="1" x14ac:dyDescent="0.25"/>
    <row r="563" customFormat="1" ht="15.75" customHeight="1" x14ac:dyDescent="0.25"/>
    <row r="564" customFormat="1" ht="15.75" customHeight="1" x14ac:dyDescent="0.25"/>
    <row r="565" customFormat="1" ht="15.75" customHeight="1" x14ac:dyDescent="0.25"/>
    <row r="566" customFormat="1" ht="15.75" customHeight="1" x14ac:dyDescent="0.25"/>
    <row r="567" customFormat="1" ht="15.75" customHeight="1" x14ac:dyDescent="0.25"/>
    <row r="568" customFormat="1" ht="15.75" customHeight="1" x14ac:dyDescent="0.25"/>
    <row r="569" customFormat="1" ht="15.75" customHeight="1" x14ac:dyDescent="0.25"/>
    <row r="570" customFormat="1" ht="15.75" customHeight="1" x14ac:dyDescent="0.25"/>
    <row r="571" customFormat="1" ht="15.75" customHeight="1" x14ac:dyDescent="0.25"/>
    <row r="572" customFormat="1" ht="15.75" customHeight="1" x14ac:dyDescent="0.25"/>
    <row r="573" customFormat="1" ht="15.75" customHeight="1" x14ac:dyDescent="0.25"/>
    <row r="574" customFormat="1" ht="15.75" customHeight="1" x14ac:dyDescent="0.25"/>
    <row r="575" customFormat="1" ht="15.75" customHeight="1" x14ac:dyDescent="0.25"/>
    <row r="576" customFormat="1" ht="15.75" customHeight="1" x14ac:dyDescent="0.25"/>
    <row r="577" customFormat="1" ht="15.75" customHeight="1" x14ac:dyDescent="0.25"/>
    <row r="578" customFormat="1" ht="15.75" customHeight="1" x14ac:dyDescent="0.25"/>
    <row r="579" customFormat="1" ht="15.75" customHeight="1" x14ac:dyDescent="0.25"/>
    <row r="580" customFormat="1" ht="15.75" customHeight="1" x14ac:dyDescent="0.25"/>
    <row r="581" customFormat="1" ht="15.75" customHeight="1" x14ac:dyDescent="0.25"/>
    <row r="582" customFormat="1" ht="15.75" customHeight="1" x14ac:dyDescent="0.25"/>
    <row r="583" customFormat="1" ht="15.75" customHeight="1" x14ac:dyDescent="0.25"/>
    <row r="584" customFormat="1" ht="15.75" customHeight="1" x14ac:dyDescent="0.25"/>
    <row r="585" customFormat="1" ht="15.75" customHeight="1" x14ac:dyDescent="0.25"/>
    <row r="586" customFormat="1" ht="15.75" customHeight="1" x14ac:dyDescent="0.25"/>
    <row r="587" customFormat="1" ht="15.75" customHeight="1" x14ac:dyDescent="0.25"/>
    <row r="588" customFormat="1" ht="15.75" customHeight="1" x14ac:dyDescent="0.25"/>
    <row r="589" customFormat="1" ht="15.75" customHeight="1" x14ac:dyDescent="0.25"/>
    <row r="590" customFormat="1" ht="15.75" customHeight="1" x14ac:dyDescent="0.25"/>
    <row r="591" customFormat="1" ht="15.75" customHeight="1" x14ac:dyDescent="0.25"/>
    <row r="592" customFormat="1" ht="15.75" customHeight="1" x14ac:dyDescent="0.25"/>
    <row r="593" customFormat="1" ht="15.75" customHeight="1" x14ac:dyDescent="0.25"/>
    <row r="594" customFormat="1" ht="15.75" customHeight="1" x14ac:dyDescent="0.25"/>
    <row r="595" customFormat="1" ht="15.75" customHeight="1" x14ac:dyDescent="0.25"/>
    <row r="596" customFormat="1" ht="15.75" customHeight="1" x14ac:dyDescent="0.25"/>
    <row r="597" customFormat="1" ht="15.75" customHeight="1" x14ac:dyDescent="0.25"/>
    <row r="598" customFormat="1" ht="15.75" customHeight="1" x14ac:dyDescent="0.25"/>
    <row r="599" customFormat="1" ht="15.75" customHeight="1" x14ac:dyDescent="0.25"/>
    <row r="600" customFormat="1" ht="15.75" customHeight="1" x14ac:dyDescent="0.25"/>
    <row r="601" customFormat="1" ht="15.75" customHeight="1" x14ac:dyDescent="0.25"/>
    <row r="602" customFormat="1" ht="15.75" customHeight="1" x14ac:dyDescent="0.25"/>
    <row r="603" customFormat="1" ht="15.75" customHeight="1" x14ac:dyDescent="0.25"/>
    <row r="604" customFormat="1" ht="15.75" customHeight="1" x14ac:dyDescent="0.25"/>
    <row r="605" customFormat="1" ht="15.75" customHeight="1" x14ac:dyDescent="0.25"/>
    <row r="606" customFormat="1" ht="15.75" customHeight="1" x14ac:dyDescent="0.25"/>
    <row r="607" customFormat="1" ht="15.75" customHeight="1" x14ac:dyDescent="0.25"/>
    <row r="608" customFormat="1" ht="15.75" customHeight="1" x14ac:dyDescent="0.25"/>
    <row r="609" customFormat="1" ht="15.75" customHeight="1" x14ac:dyDescent="0.25"/>
    <row r="610" customFormat="1" ht="15.75" customHeight="1" x14ac:dyDescent="0.25"/>
    <row r="611" customFormat="1" ht="15.75" customHeight="1" x14ac:dyDescent="0.25"/>
    <row r="612" customFormat="1" ht="15.75" customHeight="1" x14ac:dyDescent="0.25"/>
    <row r="613" customFormat="1" ht="15.75" customHeight="1" x14ac:dyDescent="0.25"/>
    <row r="614" customFormat="1" ht="15.75" customHeight="1" x14ac:dyDescent="0.25"/>
    <row r="615" customFormat="1" ht="15.75" customHeight="1" x14ac:dyDescent="0.25"/>
    <row r="616" customFormat="1" ht="15.75" customHeight="1" x14ac:dyDescent="0.25"/>
    <row r="617" customFormat="1" ht="15.75" customHeight="1" x14ac:dyDescent="0.25"/>
    <row r="618" customFormat="1" ht="15.75" customHeight="1" x14ac:dyDescent="0.25"/>
    <row r="619" customFormat="1" ht="15.75" customHeight="1" x14ac:dyDescent="0.25"/>
    <row r="620" customFormat="1" ht="15.75" customHeight="1" x14ac:dyDescent="0.25"/>
    <row r="621" customFormat="1" ht="15.75" customHeight="1" x14ac:dyDescent="0.25"/>
    <row r="622" customFormat="1" ht="15.75" customHeight="1" x14ac:dyDescent="0.25"/>
    <row r="623" customFormat="1" ht="15.75" customHeight="1" x14ac:dyDescent="0.25"/>
    <row r="624" customFormat="1" ht="15.75" customHeight="1" x14ac:dyDescent="0.25"/>
    <row r="625" customFormat="1" ht="15.75" customHeight="1" x14ac:dyDescent="0.25"/>
    <row r="626" customFormat="1" ht="15.75" customHeight="1" x14ac:dyDescent="0.25"/>
    <row r="627" customFormat="1" ht="15.75" customHeight="1" x14ac:dyDescent="0.25"/>
    <row r="628" customFormat="1" ht="15.75" customHeight="1" x14ac:dyDescent="0.25"/>
    <row r="629" customFormat="1" ht="15.75" customHeight="1" x14ac:dyDescent="0.25"/>
    <row r="630" customFormat="1" ht="15.75" customHeight="1" x14ac:dyDescent="0.25"/>
    <row r="631" customFormat="1" ht="15.75" customHeight="1" x14ac:dyDescent="0.25"/>
    <row r="632" customFormat="1" ht="15.75" customHeight="1" x14ac:dyDescent="0.25"/>
    <row r="633" customFormat="1" ht="15.75" customHeight="1" x14ac:dyDescent="0.25"/>
    <row r="634" customFormat="1" ht="15.75" customHeight="1" x14ac:dyDescent="0.25"/>
    <row r="635" customFormat="1" ht="15.75" customHeight="1" x14ac:dyDescent="0.25"/>
    <row r="636" customFormat="1" ht="15.75" customHeight="1" x14ac:dyDescent="0.25"/>
    <row r="637" customFormat="1" ht="15.75" customHeight="1" x14ac:dyDescent="0.25"/>
    <row r="638" customFormat="1" ht="15.75" customHeight="1" x14ac:dyDescent="0.25"/>
    <row r="639" customFormat="1" ht="15.75" customHeight="1" x14ac:dyDescent="0.25"/>
    <row r="640" customFormat="1" ht="15.75" customHeight="1" x14ac:dyDescent="0.25"/>
    <row r="641" customFormat="1" ht="15.75" customHeight="1" x14ac:dyDescent="0.25"/>
    <row r="642" customFormat="1" ht="15.75" customHeight="1" x14ac:dyDescent="0.25"/>
    <row r="643" customFormat="1" ht="15.75" customHeight="1" x14ac:dyDescent="0.25"/>
    <row r="644" customFormat="1" ht="15.75" customHeight="1" x14ac:dyDescent="0.25"/>
    <row r="645" customFormat="1" ht="15.75" customHeight="1" x14ac:dyDescent="0.25"/>
    <row r="646" customFormat="1" ht="15.75" customHeight="1" x14ac:dyDescent="0.25"/>
    <row r="647" customFormat="1" ht="15.75" customHeight="1" x14ac:dyDescent="0.25"/>
    <row r="648" customFormat="1" ht="15.75" customHeight="1" x14ac:dyDescent="0.25"/>
    <row r="649" customFormat="1" ht="15.75" customHeight="1" x14ac:dyDescent="0.25"/>
    <row r="650" customFormat="1" ht="15.75" customHeight="1" x14ac:dyDescent="0.25"/>
    <row r="651" customFormat="1" ht="15.75" customHeight="1" x14ac:dyDescent="0.25"/>
    <row r="652" customFormat="1" ht="15.75" customHeight="1" x14ac:dyDescent="0.25"/>
    <row r="653" customFormat="1" ht="15.75" customHeight="1" x14ac:dyDescent="0.25"/>
    <row r="654" customFormat="1" ht="15.75" customHeight="1" x14ac:dyDescent="0.25"/>
    <row r="655" customFormat="1" ht="15.75" customHeight="1" x14ac:dyDescent="0.25"/>
    <row r="656" customFormat="1" ht="15.75" customHeight="1" x14ac:dyDescent="0.25"/>
    <row r="657" customFormat="1" ht="15.75" customHeight="1" x14ac:dyDescent="0.25"/>
    <row r="658" customFormat="1" ht="15.75" customHeight="1" x14ac:dyDescent="0.25"/>
    <row r="659" customFormat="1" ht="15.75" customHeight="1" x14ac:dyDescent="0.25"/>
    <row r="660" customFormat="1" ht="15.75" customHeight="1" x14ac:dyDescent="0.25"/>
    <row r="661" customFormat="1" ht="15.75" customHeight="1" x14ac:dyDescent="0.25"/>
    <row r="662" customFormat="1" ht="15.75" customHeight="1" x14ac:dyDescent="0.25"/>
    <row r="663" customFormat="1" ht="15.75" customHeight="1" x14ac:dyDescent="0.25"/>
    <row r="664" customFormat="1" ht="15.75" customHeight="1" x14ac:dyDescent="0.25"/>
    <row r="665" customFormat="1" ht="15.75" customHeight="1" x14ac:dyDescent="0.25"/>
    <row r="666" customFormat="1" ht="15.75" customHeight="1" x14ac:dyDescent="0.25"/>
    <row r="667" customFormat="1" ht="15.75" customHeight="1" x14ac:dyDescent="0.25"/>
    <row r="668" customFormat="1" ht="15.75" customHeight="1" x14ac:dyDescent="0.25"/>
    <row r="669" customFormat="1" ht="15.75" customHeight="1" x14ac:dyDescent="0.25"/>
    <row r="670" customFormat="1" ht="15.75" customHeight="1" x14ac:dyDescent="0.25"/>
    <row r="671" customFormat="1" ht="15.75" customHeight="1" x14ac:dyDescent="0.25"/>
    <row r="672" customFormat="1" ht="15.75" customHeight="1" x14ac:dyDescent="0.25"/>
    <row r="673" customFormat="1" ht="15.75" customHeight="1" x14ac:dyDescent="0.25"/>
    <row r="674" customFormat="1" ht="15.75" customHeight="1" x14ac:dyDescent="0.25"/>
    <row r="675" customFormat="1" ht="15.75" customHeight="1" x14ac:dyDescent="0.25"/>
    <row r="676" customFormat="1" ht="15.75" customHeight="1" x14ac:dyDescent="0.25"/>
    <row r="677" customFormat="1" ht="15.75" customHeight="1" x14ac:dyDescent="0.25"/>
    <row r="678" customFormat="1" ht="15.75" customHeight="1" x14ac:dyDescent="0.25"/>
    <row r="679" customFormat="1" ht="15.75" customHeight="1" x14ac:dyDescent="0.25"/>
    <row r="680" customFormat="1" ht="15.75" customHeight="1" x14ac:dyDescent="0.25"/>
    <row r="681" customFormat="1" ht="15.75" customHeight="1" x14ac:dyDescent="0.25"/>
    <row r="682" customFormat="1" ht="15.75" customHeight="1" x14ac:dyDescent="0.25"/>
    <row r="683" customFormat="1" ht="15.75" customHeight="1" x14ac:dyDescent="0.25"/>
    <row r="684" customFormat="1" ht="15.75" customHeight="1" x14ac:dyDescent="0.25"/>
    <row r="685" customFormat="1" ht="15.75" customHeight="1" x14ac:dyDescent="0.25"/>
    <row r="686" customFormat="1" ht="15.75" customHeight="1" x14ac:dyDescent="0.25"/>
    <row r="687" customFormat="1" ht="15.75" customHeight="1" x14ac:dyDescent="0.25"/>
    <row r="688" customFormat="1" ht="15.75" customHeight="1" x14ac:dyDescent="0.25"/>
    <row r="689" customFormat="1" ht="15.75" customHeight="1" x14ac:dyDescent="0.25"/>
    <row r="690" customFormat="1" ht="15.75" customHeight="1" x14ac:dyDescent="0.25"/>
    <row r="691" customFormat="1" ht="15.75" customHeight="1" x14ac:dyDescent="0.25"/>
    <row r="692" customFormat="1" ht="15.75" customHeight="1" x14ac:dyDescent="0.25"/>
    <row r="693" customFormat="1" ht="15.75" customHeight="1" x14ac:dyDescent="0.25"/>
    <row r="694" customFormat="1" ht="15.75" customHeight="1" x14ac:dyDescent="0.25"/>
    <row r="695" customFormat="1" ht="15.75" customHeight="1" x14ac:dyDescent="0.25"/>
    <row r="696" customFormat="1" ht="15.75" customHeight="1" x14ac:dyDescent="0.25"/>
    <row r="697" customFormat="1" ht="15.75" customHeight="1" x14ac:dyDescent="0.25"/>
    <row r="698" customFormat="1" ht="15.75" customHeight="1" x14ac:dyDescent="0.25"/>
    <row r="699" customFormat="1" ht="15.75" customHeight="1" x14ac:dyDescent="0.25"/>
    <row r="700" customFormat="1" ht="15.75" customHeight="1" x14ac:dyDescent="0.25"/>
    <row r="701" customFormat="1" ht="15.75" customHeight="1" x14ac:dyDescent="0.25"/>
    <row r="702" customFormat="1" ht="15.75" customHeight="1" x14ac:dyDescent="0.25"/>
    <row r="703" customFormat="1" ht="15.75" customHeight="1" x14ac:dyDescent="0.25"/>
    <row r="704" customFormat="1" ht="15.75" customHeight="1" x14ac:dyDescent="0.25"/>
    <row r="705" customFormat="1" ht="15.75" customHeight="1" x14ac:dyDescent="0.25"/>
    <row r="706" customFormat="1" ht="15.75" customHeight="1" x14ac:dyDescent="0.25"/>
    <row r="707" customFormat="1" ht="15.75" customHeight="1" x14ac:dyDescent="0.25"/>
    <row r="708" customFormat="1" ht="15.75" customHeight="1" x14ac:dyDescent="0.25"/>
    <row r="709" customFormat="1" ht="15.75" customHeight="1" x14ac:dyDescent="0.25"/>
    <row r="710" customFormat="1" ht="15.75" customHeight="1" x14ac:dyDescent="0.25"/>
    <row r="711" customFormat="1" ht="15.75" customHeight="1" x14ac:dyDescent="0.25"/>
    <row r="712" customFormat="1" ht="15.75" customHeight="1" x14ac:dyDescent="0.25"/>
    <row r="713" customFormat="1" ht="15.75" customHeight="1" x14ac:dyDescent="0.25"/>
    <row r="714" customFormat="1" ht="15.75" customHeight="1" x14ac:dyDescent="0.25"/>
    <row r="715" customFormat="1" ht="15.75" customHeight="1" x14ac:dyDescent="0.25"/>
    <row r="716" customFormat="1" ht="15.75" customHeight="1" x14ac:dyDescent="0.25"/>
    <row r="717" customFormat="1" ht="15.75" customHeight="1" x14ac:dyDescent="0.25"/>
    <row r="718" customFormat="1" ht="15.75" customHeight="1" x14ac:dyDescent="0.25"/>
    <row r="719" customFormat="1" ht="15.75" customHeight="1" x14ac:dyDescent="0.25"/>
    <row r="720" customFormat="1" ht="15.75" customHeight="1" x14ac:dyDescent="0.25"/>
    <row r="721" customFormat="1" ht="15.75" customHeight="1" x14ac:dyDescent="0.25"/>
    <row r="722" customFormat="1" ht="15.75" customHeight="1" x14ac:dyDescent="0.25"/>
    <row r="723" customFormat="1" ht="15.75" customHeight="1" x14ac:dyDescent="0.25"/>
    <row r="724" customFormat="1" ht="15.75" customHeight="1" x14ac:dyDescent="0.25"/>
    <row r="725" customFormat="1" ht="15.75" customHeight="1" x14ac:dyDescent="0.25"/>
    <row r="726" customFormat="1" ht="15.75" customHeight="1" x14ac:dyDescent="0.25"/>
    <row r="727" customFormat="1" ht="15.75" customHeight="1" x14ac:dyDescent="0.25"/>
    <row r="728" customFormat="1" ht="15.75" customHeight="1" x14ac:dyDescent="0.25"/>
    <row r="729" customFormat="1" ht="15.75" customHeight="1" x14ac:dyDescent="0.25"/>
    <row r="730" customFormat="1" ht="15.75" customHeight="1" x14ac:dyDescent="0.25"/>
    <row r="731" customFormat="1" ht="15.75" customHeight="1" x14ac:dyDescent="0.25"/>
    <row r="732" customFormat="1" ht="15.75" customHeight="1" x14ac:dyDescent="0.25"/>
    <row r="733" customFormat="1" ht="15.75" customHeight="1" x14ac:dyDescent="0.25"/>
    <row r="734" customFormat="1" ht="15.75" customHeight="1" x14ac:dyDescent="0.25"/>
    <row r="735" customFormat="1" ht="15.75" customHeight="1" x14ac:dyDescent="0.25"/>
    <row r="736" customFormat="1" ht="15.75" customHeight="1" x14ac:dyDescent="0.25"/>
    <row r="737" customFormat="1" ht="15.75" customHeight="1" x14ac:dyDescent="0.25"/>
    <row r="738" customFormat="1" ht="15.75" customHeight="1" x14ac:dyDescent="0.25"/>
    <row r="739" customFormat="1" ht="15.75" customHeight="1" x14ac:dyDescent="0.25"/>
    <row r="740" customFormat="1" ht="15.75" customHeight="1" x14ac:dyDescent="0.25"/>
    <row r="741" customFormat="1" ht="15.75" customHeight="1" x14ac:dyDescent="0.25"/>
    <row r="742" customFormat="1" ht="15.75" customHeight="1" x14ac:dyDescent="0.25"/>
    <row r="743" customFormat="1" ht="15.75" customHeight="1" x14ac:dyDescent="0.25"/>
    <row r="744" customFormat="1" ht="15.75" customHeight="1" x14ac:dyDescent="0.25"/>
    <row r="745" customFormat="1" ht="15.75" customHeight="1" x14ac:dyDescent="0.25"/>
    <row r="746" customFormat="1" ht="15.75" customHeight="1" x14ac:dyDescent="0.25"/>
    <row r="747" customFormat="1" ht="15.75" customHeight="1" x14ac:dyDescent="0.25"/>
    <row r="748" customFormat="1" ht="15.75" customHeight="1" x14ac:dyDescent="0.25"/>
    <row r="749" customFormat="1" ht="15.75" customHeight="1" x14ac:dyDescent="0.25"/>
    <row r="750" customFormat="1" ht="15.75" customHeight="1" x14ac:dyDescent="0.25"/>
    <row r="751" customFormat="1" ht="15.75" customHeight="1" x14ac:dyDescent="0.25"/>
    <row r="752" customFormat="1" ht="15.75" customHeight="1" x14ac:dyDescent="0.25"/>
    <row r="753" customFormat="1" ht="15.75" customHeight="1" x14ac:dyDescent="0.25"/>
    <row r="754" customFormat="1" ht="15.75" customHeight="1" x14ac:dyDescent="0.25"/>
    <row r="755" customFormat="1" ht="15.75" customHeight="1" x14ac:dyDescent="0.25"/>
    <row r="756" customFormat="1" ht="15.75" customHeight="1" x14ac:dyDescent="0.25"/>
    <row r="757" customFormat="1" ht="15.75" customHeight="1" x14ac:dyDescent="0.25"/>
    <row r="758" customFormat="1" ht="15.75" customHeight="1" x14ac:dyDescent="0.25"/>
    <row r="759" customFormat="1" ht="15.75" customHeight="1" x14ac:dyDescent="0.25"/>
    <row r="760" customFormat="1" ht="15.75" customHeight="1" x14ac:dyDescent="0.25"/>
    <row r="761" customFormat="1" ht="15.75" customHeight="1" x14ac:dyDescent="0.25"/>
    <row r="762" customFormat="1" ht="15.75" customHeight="1" x14ac:dyDescent="0.25"/>
    <row r="763" customFormat="1" ht="15.75" customHeight="1" x14ac:dyDescent="0.25"/>
    <row r="764" customFormat="1" ht="15.75" customHeight="1" x14ac:dyDescent="0.25"/>
    <row r="765" customFormat="1" ht="15.75" customHeight="1" x14ac:dyDescent="0.25"/>
    <row r="766" customFormat="1" ht="15.75" customHeight="1" x14ac:dyDescent="0.25"/>
    <row r="767" customFormat="1" ht="15.75" customHeight="1" x14ac:dyDescent="0.25"/>
    <row r="768" customFormat="1" ht="15.75" customHeight="1" x14ac:dyDescent="0.25"/>
    <row r="769" customFormat="1" ht="15.75" customHeight="1" x14ac:dyDescent="0.25"/>
    <row r="770" customFormat="1" ht="15.75" customHeight="1" x14ac:dyDescent="0.25"/>
    <row r="771" customFormat="1" ht="15.75" customHeight="1" x14ac:dyDescent="0.25"/>
    <row r="772" customFormat="1" ht="15.75" customHeight="1" x14ac:dyDescent="0.25"/>
    <row r="773" customFormat="1" ht="15.75" customHeight="1" x14ac:dyDescent="0.25"/>
    <row r="774" customFormat="1" ht="15.75" customHeight="1" x14ac:dyDescent="0.25"/>
    <row r="775" customFormat="1" ht="15.75" customHeight="1" x14ac:dyDescent="0.25"/>
    <row r="776" customFormat="1" ht="15.75" customHeight="1" x14ac:dyDescent="0.25"/>
    <row r="777" customFormat="1" ht="15.75" customHeight="1" x14ac:dyDescent="0.25"/>
    <row r="778" customFormat="1" ht="15.75" customHeight="1" x14ac:dyDescent="0.25"/>
    <row r="779" customFormat="1" ht="15.75" customHeight="1" x14ac:dyDescent="0.25"/>
    <row r="780" customFormat="1" ht="15.75" customHeight="1" x14ac:dyDescent="0.25"/>
    <row r="781" customFormat="1" ht="15.75" customHeight="1" x14ac:dyDescent="0.25"/>
    <row r="782" customFormat="1" ht="15.75" customHeight="1" x14ac:dyDescent="0.25"/>
    <row r="783" customFormat="1" ht="15.75" customHeight="1" x14ac:dyDescent="0.25"/>
    <row r="784" customFormat="1" ht="15.75" customHeight="1" x14ac:dyDescent="0.25"/>
    <row r="785" customFormat="1" ht="15.75" customHeight="1" x14ac:dyDescent="0.25"/>
    <row r="786" customFormat="1" ht="15.75" customHeight="1" x14ac:dyDescent="0.25"/>
    <row r="787" customFormat="1" ht="15.75" customHeight="1" x14ac:dyDescent="0.25"/>
    <row r="788" customFormat="1" ht="15.75" customHeight="1" x14ac:dyDescent="0.25"/>
    <row r="789" customFormat="1" ht="15.75" customHeight="1" x14ac:dyDescent="0.25"/>
    <row r="790" customFormat="1" ht="15.75" customHeight="1" x14ac:dyDescent="0.25"/>
    <row r="791" customFormat="1" ht="15.75" customHeight="1" x14ac:dyDescent="0.25"/>
    <row r="792" customFormat="1" ht="15.75" customHeight="1" x14ac:dyDescent="0.25"/>
    <row r="793" customFormat="1" ht="15.75" customHeight="1" x14ac:dyDescent="0.25"/>
    <row r="794" customFormat="1" ht="15.75" customHeight="1" x14ac:dyDescent="0.25"/>
    <row r="795" customFormat="1" ht="15.75" customHeight="1" x14ac:dyDescent="0.25"/>
    <row r="796" customFormat="1" ht="15.75" customHeight="1" x14ac:dyDescent="0.25"/>
    <row r="797" customFormat="1" ht="15.75" customHeight="1" x14ac:dyDescent="0.25"/>
    <row r="798" customFormat="1" ht="15.75" customHeight="1" x14ac:dyDescent="0.25"/>
    <row r="799" customFormat="1" ht="15.75" customHeight="1" x14ac:dyDescent="0.25"/>
    <row r="800" customFormat="1" ht="15.75" customHeight="1" x14ac:dyDescent="0.25"/>
    <row r="801" customFormat="1" ht="15.75" customHeight="1" x14ac:dyDescent="0.25"/>
    <row r="802" customFormat="1" ht="15.75" customHeight="1" x14ac:dyDescent="0.25"/>
    <row r="803" customFormat="1" ht="15.75" customHeight="1" x14ac:dyDescent="0.25"/>
    <row r="804" customFormat="1" ht="15.75" customHeight="1" x14ac:dyDescent="0.25"/>
    <row r="805" customFormat="1" ht="15.75" customHeight="1" x14ac:dyDescent="0.25"/>
    <row r="806" customFormat="1" ht="15.75" customHeight="1" x14ac:dyDescent="0.25"/>
    <row r="807" customFormat="1" ht="15.75" customHeight="1" x14ac:dyDescent="0.25"/>
    <row r="808" customFormat="1" ht="15.75" customHeight="1" x14ac:dyDescent="0.25"/>
    <row r="809" customFormat="1" ht="15.75" customHeight="1" x14ac:dyDescent="0.25"/>
    <row r="810" customFormat="1" ht="15.75" customHeight="1" x14ac:dyDescent="0.25"/>
    <row r="811" customFormat="1" ht="15.75" customHeight="1" x14ac:dyDescent="0.25"/>
    <row r="812" customFormat="1" ht="15.75" customHeight="1" x14ac:dyDescent="0.25"/>
    <row r="813" customFormat="1" ht="15.75" customHeight="1" x14ac:dyDescent="0.25"/>
    <row r="814" customFormat="1" ht="15.75" customHeight="1" x14ac:dyDescent="0.25"/>
    <row r="815" customFormat="1" ht="15.75" customHeight="1" x14ac:dyDescent="0.25"/>
    <row r="816" customFormat="1" ht="15.75" customHeight="1" x14ac:dyDescent="0.25"/>
    <row r="817" customFormat="1" ht="15.75" customHeight="1" x14ac:dyDescent="0.25"/>
    <row r="818" customFormat="1" ht="15.75" customHeight="1" x14ac:dyDescent="0.25"/>
    <row r="819" customFormat="1" ht="15.75" customHeight="1" x14ac:dyDescent="0.25"/>
    <row r="820" customFormat="1" ht="15.75" customHeight="1" x14ac:dyDescent="0.25"/>
    <row r="821" customFormat="1" ht="15.75" customHeight="1" x14ac:dyDescent="0.25"/>
    <row r="822" customFormat="1" ht="15.75" customHeight="1" x14ac:dyDescent="0.25"/>
    <row r="823" customFormat="1" ht="15.75" customHeight="1" x14ac:dyDescent="0.25"/>
    <row r="824" customFormat="1" ht="15.75" customHeight="1" x14ac:dyDescent="0.25"/>
    <row r="825" customFormat="1" ht="15.75" customHeight="1" x14ac:dyDescent="0.25"/>
    <row r="826" customFormat="1" ht="15.75" customHeight="1" x14ac:dyDescent="0.25"/>
    <row r="827" customFormat="1" ht="15.75" customHeight="1" x14ac:dyDescent="0.25"/>
    <row r="828" customFormat="1" ht="15.75" customHeight="1" x14ac:dyDescent="0.25"/>
    <row r="829" customFormat="1" ht="15.75" customHeight="1" x14ac:dyDescent="0.25"/>
    <row r="830" customFormat="1" ht="15.75" customHeight="1" x14ac:dyDescent="0.25"/>
    <row r="831" customFormat="1" ht="15.75" customHeight="1" x14ac:dyDescent="0.25"/>
    <row r="832" customFormat="1" ht="15.75" customHeight="1" x14ac:dyDescent="0.25"/>
    <row r="833" customFormat="1" ht="15.75" customHeight="1" x14ac:dyDescent="0.25"/>
    <row r="834" customFormat="1" ht="15.75" customHeight="1" x14ac:dyDescent="0.25"/>
    <row r="835" customFormat="1" ht="15.75" customHeight="1" x14ac:dyDescent="0.25"/>
    <row r="836" customFormat="1" ht="15.75" customHeight="1" x14ac:dyDescent="0.25"/>
    <row r="837" customFormat="1" ht="15.75" customHeight="1" x14ac:dyDescent="0.25"/>
    <row r="838" customFormat="1" ht="15.75" customHeight="1" x14ac:dyDescent="0.25"/>
    <row r="839" customFormat="1" ht="15.75" customHeight="1" x14ac:dyDescent="0.25"/>
    <row r="840" customFormat="1" ht="15.75" customHeight="1" x14ac:dyDescent="0.25"/>
    <row r="841" customFormat="1" ht="15.75" customHeight="1" x14ac:dyDescent="0.25"/>
    <row r="842" customFormat="1" ht="15.75" customHeight="1" x14ac:dyDescent="0.25"/>
    <row r="843" customFormat="1" ht="15.75" customHeight="1" x14ac:dyDescent="0.25"/>
    <row r="844" customFormat="1" ht="15.75" customHeight="1" x14ac:dyDescent="0.25"/>
    <row r="845" customFormat="1" ht="15.75" customHeight="1" x14ac:dyDescent="0.25"/>
    <row r="846" customFormat="1" ht="15.75" customHeight="1" x14ac:dyDescent="0.25"/>
    <row r="847" customFormat="1" ht="15.75" customHeight="1" x14ac:dyDescent="0.25"/>
    <row r="848" customFormat="1" ht="15.75" customHeight="1" x14ac:dyDescent="0.25"/>
    <row r="849" customFormat="1" ht="15.75" customHeight="1" x14ac:dyDescent="0.25"/>
    <row r="850" customFormat="1" ht="15.75" customHeight="1" x14ac:dyDescent="0.25"/>
    <row r="851" customFormat="1" ht="15.75" customHeight="1" x14ac:dyDescent="0.25"/>
    <row r="852" customFormat="1" ht="15.75" customHeight="1" x14ac:dyDescent="0.25"/>
    <row r="853" customFormat="1" ht="15.75" customHeight="1" x14ac:dyDescent="0.25"/>
    <row r="854" customFormat="1" ht="15.75" customHeight="1" x14ac:dyDescent="0.25"/>
    <row r="855" customFormat="1" ht="15.75" customHeight="1" x14ac:dyDescent="0.25"/>
    <row r="856" customFormat="1" ht="15.75" customHeight="1" x14ac:dyDescent="0.25"/>
    <row r="857" customFormat="1" ht="15.75" customHeight="1" x14ac:dyDescent="0.25"/>
    <row r="858" customFormat="1" ht="15.75" customHeight="1" x14ac:dyDescent="0.25"/>
    <row r="859" customFormat="1" ht="15.75" customHeight="1" x14ac:dyDescent="0.25"/>
    <row r="860" customFormat="1" ht="15.75" customHeight="1" x14ac:dyDescent="0.25"/>
    <row r="861" customFormat="1" ht="15.75" customHeight="1" x14ac:dyDescent="0.25"/>
    <row r="862" customFormat="1" ht="15.75" customHeight="1" x14ac:dyDescent="0.25"/>
    <row r="863" customFormat="1" ht="15.75" customHeight="1" x14ac:dyDescent="0.25"/>
    <row r="864" customFormat="1" ht="15.75" customHeight="1" x14ac:dyDescent="0.25"/>
    <row r="865" customFormat="1" ht="15.75" customHeight="1" x14ac:dyDescent="0.25"/>
    <row r="866" customFormat="1" ht="15.75" customHeight="1" x14ac:dyDescent="0.25"/>
    <row r="867" customFormat="1" ht="15.75" customHeight="1" x14ac:dyDescent="0.25"/>
    <row r="868" customFormat="1" ht="15.75" customHeight="1" x14ac:dyDescent="0.25"/>
    <row r="869" customFormat="1" ht="15.75" customHeight="1" x14ac:dyDescent="0.25"/>
    <row r="870" customFormat="1" ht="15.75" customHeight="1" x14ac:dyDescent="0.25"/>
    <row r="871" customFormat="1" ht="15.75" customHeight="1" x14ac:dyDescent="0.25"/>
    <row r="872" customFormat="1" ht="15.75" customHeight="1" x14ac:dyDescent="0.25"/>
    <row r="873" customFormat="1" ht="15.75" customHeight="1" x14ac:dyDescent="0.25"/>
    <row r="874" customFormat="1" ht="15.75" customHeight="1" x14ac:dyDescent="0.25"/>
    <row r="875" customFormat="1" ht="15.75" customHeight="1" x14ac:dyDescent="0.25"/>
    <row r="876" customFormat="1" ht="15.75" customHeight="1" x14ac:dyDescent="0.25"/>
    <row r="877" customFormat="1" ht="15.75" customHeight="1" x14ac:dyDescent="0.25"/>
    <row r="878" customFormat="1" ht="15.75" customHeight="1" x14ac:dyDescent="0.25"/>
    <row r="879" customFormat="1" ht="15.75" customHeight="1" x14ac:dyDescent="0.25"/>
    <row r="880" customFormat="1" ht="15.75" customHeight="1" x14ac:dyDescent="0.25"/>
    <row r="881" customFormat="1" ht="15.75" customHeight="1" x14ac:dyDescent="0.25"/>
    <row r="882" customFormat="1" ht="15.75" customHeight="1" x14ac:dyDescent="0.25"/>
    <row r="883" customFormat="1" ht="15.75" customHeight="1" x14ac:dyDescent="0.25"/>
    <row r="884" customFormat="1" ht="15.75" customHeight="1" x14ac:dyDescent="0.25"/>
    <row r="885" customFormat="1" ht="15.75" customHeight="1" x14ac:dyDescent="0.25"/>
    <row r="886" customFormat="1" ht="15.75" customHeight="1" x14ac:dyDescent="0.25"/>
    <row r="887" customFormat="1" ht="15.75" customHeight="1" x14ac:dyDescent="0.25"/>
    <row r="888" customFormat="1" ht="15.75" customHeight="1" x14ac:dyDescent="0.25"/>
    <row r="889" customFormat="1" ht="15.75" customHeight="1" x14ac:dyDescent="0.25"/>
    <row r="890" customFormat="1" ht="15.75" customHeight="1" x14ac:dyDescent="0.25"/>
    <row r="891" customFormat="1" ht="15.75" customHeight="1" x14ac:dyDescent="0.25"/>
    <row r="892" customFormat="1" ht="15.75" customHeight="1" x14ac:dyDescent="0.25"/>
    <row r="893" customFormat="1" ht="15.75" customHeight="1" x14ac:dyDescent="0.25"/>
    <row r="894" customFormat="1" ht="15.75" customHeight="1" x14ac:dyDescent="0.25"/>
    <row r="895" customFormat="1" ht="15.75" customHeight="1" x14ac:dyDescent="0.25"/>
    <row r="896" customFormat="1" ht="15.75" customHeight="1" x14ac:dyDescent="0.25"/>
    <row r="897" customFormat="1" ht="15.75" customHeight="1" x14ac:dyDescent="0.25"/>
    <row r="898" customFormat="1" ht="15.75" customHeight="1" x14ac:dyDescent="0.25"/>
    <row r="899" customFormat="1" ht="15.75" customHeight="1" x14ac:dyDescent="0.25"/>
    <row r="900" customFormat="1" ht="15.75" customHeight="1" x14ac:dyDescent="0.25"/>
    <row r="901" customFormat="1" ht="15.75" customHeight="1" x14ac:dyDescent="0.25"/>
    <row r="902" customFormat="1" ht="15.75" customHeight="1" x14ac:dyDescent="0.25"/>
    <row r="903" customFormat="1" ht="15.75" customHeight="1" x14ac:dyDescent="0.25"/>
    <row r="904" customFormat="1" ht="15.75" customHeight="1" x14ac:dyDescent="0.25"/>
    <row r="905" customFormat="1" ht="15.75" customHeight="1" x14ac:dyDescent="0.25"/>
    <row r="906" customFormat="1" ht="15.75" customHeight="1" x14ac:dyDescent="0.25"/>
    <row r="907" customFormat="1" ht="15.75" customHeight="1" x14ac:dyDescent="0.25"/>
    <row r="908" customFormat="1" ht="15.75" customHeight="1" x14ac:dyDescent="0.25"/>
    <row r="909" customFormat="1" ht="15.75" customHeight="1" x14ac:dyDescent="0.25"/>
    <row r="910" customFormat="1" ht="15.75" customHeight="1" x14ac:dyDescent="0.25"/>
    <row r="911" customFormat="1" ht="15.75" customHeight="1" x14ac:dyDescent="0.25"/>
    <row r="912" customFormat="1" ht="15.75" customHeight="1" x14ac:dyDescent="0.25"/>
    <row r="913" customFormat="1" ht="15.75" customHeight="1" x14ac:dyDescent="0.25"/>
    <row r="914" customFormat="1" ht="15.75" customHeight="1" x14ac:dyDescent="0.25"/>
    <row r="915" customFormat="1" ht="15.75" customHeight="1" x14ac:dyDescent="0.25"/>
    <row r="916" customFormat="1" ht="15.75" customHeight="1" x14ac:dyDescent="0.25"/>
    <row r="917" customFormat="1" ht="15.75" customHeight="1" x14ac:dyDescent="0.25"/>
    <row r="918" customFormat="1" ht="15.75" customHeight="1" x14ac:dyDescent="0.25"/>
    <row r="919" customFormat="1" ht="15.75" customHeight="1" x14ac:dyDescent="0.25"/>
    <row r="920" customFormat="1" ht="15.75" customHeight="1" x14ac:dyDescent="0.25"/>
    <row r="921" customFormat="1" ht="15.75" customHeight="1" x14ac:dyDescent="0.25"/>
    <row r="922" customFormat="1" ht="15.75" customHeight="1" x14ac:dyDescent="0.25"/>
    <row r="923" customFormat="1" ht="15.75" customHeight="1" x14ac:dyDescent="0.25"/>
    <row r="924" customFormat="1" ht="15.75" customHeight="1" x14ac:dyDescent="0.25"/>
    <row r="925" customFormat="1" ht="15.75" customHeight="1" x14ac:dyDescent="0.25"/>
    <row r="926" customFormat="1" ht="15.75" customHeight="1" x14ac:dyDescent="0.25"/>
    <row r="927" customFormat="1" ht="15.75" customHeight="1" x14ac:dyDescent="0.25"/>
    <row r="928" customFormat="1" ht="15.75" customHeight="1" x14ac:dyDescent="0.25"/>
    <row r="929" customFormat="1" ht="15.75" customHeight="1" x14ac:dyDescent="0.25"/>
    <row r="930" customFormat="1" ht="15.75" customHeight="1" x14ac:dyDescent="0.25"/>
    <row r="931" customFormat="1" ht="15.75" customHeight="1" x14ac:dyDescent="0.25"/>
    <row r="932" customFormat="1" ht="15.75" customHeight="1" x14ac:dyDescent="0.25"/>
    <row r="933" customFormat="1" ht="15.75" customHeight="1" x14ac:dyDescent="0.25"/>
    <row r="934" customFormat="1" ht="15.75" customHeight="1" x14ac:dyDescent="0.25"/>
    <row r="935" customFormat="1" ht="15.75" customHeight="1" x14ac:dyDescent="0.25"/>
    <row r="936" customFormat="1" ht="15.75" customHeight="1" x14ac:dyDescent="0.25"/>
    <row r="937" customFormat="1" ht="15.75" customHeight="1" x14ac:dyDescent="0.25"/>
    <row r="938" customFormat="1" ht="15.75" customHeight="1" x14ac:dyDescent="0.25"/>
    <row r="939" customFormat="1" ht="15.75" customHeight="1" x14ac:dyDescent="0.25"/>
    <row r="940" customFormat="1" ht="15.75" customHeight="1" x14ac:dyDescent="0.25"/>
    <row r="941" customFormat="1" ht="15.75" customHeight="1" x14ac:dyDescent="0.25"/>
    <row r="942" customFormat="1" ht="15.75" customHeight="1" x14ac:dyDescent="0.25"/>
    <row r="943" customFormat="1" ht="15.75" customHeight="1" x14ac:dyDescent="0.25"/>
    <row r="944" customFormat="1" ht="15.75" customHeight="1" x14ac:dyDescent="0.25"/>
    <row r="945" customFormat="1" ht="15.75" customHeight="1" x14ac:dyDescent="0.25"/>
    <row r="946" customFormat="1" ht="15.75" customHeight="1" x14ac:dyDescent="0.25"/>
    <row r="947" customFormat="1" ht="15.75" customHeight="1" x14ac:dyDescent="0.25"/>
    <row r="948" customFormat="1" ht="15.75" customHeight="1" x14ac:dyDescent="0.25"/>
    <row r="949" customFormat="1" ht="15.75" customHeight="1" x14ac:dyDescent="0.25"/>
    <row r="950" customFormat="1" ht="15.75" customHeight="1" x14ac:dyDescent="0.25"/>
    <row r="951" customFormat="1" ht="15.75" customHeight="1" x14ac:dyDescent="0.25"/>
    <row r="952" customFormat="1" ht="15.75" customHeight="1" x14ac:dyDescent="0.25"/>
    <row r="953" customFormat="1" ht="15.75" customHeight="1" x14ac:dyDescent="0.25"/>
    <row r="954" customFormat="1" ht="15.75" customHeight="1" x14ac:dyDescent="0.25"/>
    <row r="955" customFormat="1" ht="15.75" customHeight="1" x14ac:dyDescent="0.25"/>
    <row r="956" customFormat="1" ht="15.75" customHeight="1" x14ac:dyDescent="0.25"/>
    <row r="957" customFormat="1" ht="15.75" customHeight="1" x14ac:dyDescent="0.25"/>
    <row r="958" customFormat="1" ht="15.75" customHeight="1" x14ac:dyDescent="0.25"/>
    <row r="959" customFormat="1" ht="15.75" customHeight="1" x14ac:dyDescent="0.25"/>
    <row r="960" customFormat="1" ht="15.75" customHeight="1" x14ac:dyDescent="0.25"/>
    <row r="961" customFormat="1" ht="15.75" customHeight="1" x14ac:dyDescent="0.25"/>
    <row r="962" customFormat="1" ht="15.75" customHeight="1" x14ac:dyDescent="0.25"/>
    <row r="963" customFormat="1" ht="15.75" customHeight="1" x14ac:dyDescent="0.25"/>
    <row r="964" customFormat="1" ht="15.75" customHeight="1" x14ac:dyDescent="0.25"/>
    <row r="965" customFormat="1" ht="15.75" customHeight="1" x14ac:dyDescent="0.25"/>
    <row r="966" customFormat="1" ht="15.75" customHeight="1" x14ac:dyDescent="0.25"/>
    <row r="967" customFormat="1" ht="15.75" customHeight="1" x14ac:dyDescent="0.25"/>
    <row r="968" customFormat="1" ht="15.75" customHeight="1" x14ac:dyDescent="0.25"/>
    <row r="969" customFormat="1" ht="15.75" customHeight="1" x14ac:dyDescent="0.25"/>
    <row r="970" customFormat="1" ht="15.75" customHeight="1" x14ac:dyDescent="0.25"/>
    <row r="971" customFormat="1" ht="15.75" customHeight="1" x14ac:dyDescent="0.25"/>
    <row r="972" customFormat="1" ht="15.75" customHeight="1" x14ac:dyDescent="0.25"/>
    <row r="973" customFormat="1" ht="15.75" customHeight="1" x14ac:dyDescent="0.25"/>
    <row r="974" customFormat="1" ht="15.75" customHeight="1" x14ac:dyDescent="0.25"/>
    <row r="975" customFormat="1" ht="15.75" customHeight="1" x14ac:dyDescent="0.25"/>
    <row r="976" customFormat="1" ht="15.75" customHeight="1" x14ac:dyDescent="0.25"/>
    <row r="977" customFormat="1" ht="15.75" customHeight="1" x14ac:dyDescent="0.25"/>
    <row r="978" customFormat="1" ht="15.75" customHeight="1" x14ac:dyDescent="0.25"/>
    <row r="979" customFormat="1" ht="15.75" customHeight="1" x14ac:dyDescent="0.25"/>
    <row r="980" customFormat="1" ht="15.75" customHeight="1" x14ac:dyDescent="0.25"/>
    <row r="981" customFormat="1" ht="15.75" customHeight="1" x14ac:dyDescent="0.25"/>
    <row r="982" customFormat="1" ht="15.75" customHeight="1" x14ac:dyDescent="0.25"/>
    <row r="983" customFormat="1" ht="15.75" customHeight="1" x14ac:dyDescent="0.25"/>
    <row r="984" customFormat="1" ht="15.75" customHeight="1" x14ac:dyDescent="0.25"/>
    <row r="985" customFormat="1" ht="15.75" customHeight="1" x14ac:dyDescent="0.25"/>
    <row r="986" customFormat="1" ht="15.75" customHeight="1" x14ac:dyDescent="0.25"/>
    <row r="987" customFormat="1" ht="15.75" customHeight="1" x14ac:dyDescent="0.25"/>
    <row r="988" customFormat="1" ht="15.75" customHeight="1" x14ac:dyDescent="0.25"/>
    <row r="989" customFormat="1" ht="15.75" customHeight="1" x14ac:dyDescent="0.25"/>
    <row r="990" customFormat="1" ht="15.75" customHeight="1" x14ac:dyDescent="0.25"/>
    <row r="991" customFormat="1" ht="15.75" customHeight="1" x14ac:dyDescent="0.25"/>
    <row r="992" customFormat="1" ht="15.75" customHeight="1" x14ac:dyDescent="0.25"/>
    <row r="993" customFormat="1" ht="15.75" customHeight="1" x14ac:dyDescent="0.25"/>
    <row r="994" customFormat="1" ht="15.75" customHeight="1" x14ac:dyDescent="0.25"/>
    <row r="995" customFormat="1" ht="15.75" customHeight="1" x14ac:dyDescent="0.25"/>
    <row r="996" customFormat="1" ht="15.75" customHeight="1" x14ac:dyDescent="0.25"/>
    <row r="997" customFormat="1" ht="15.75" customHeight="1" x14ac:dyDescent="0.25"/>
    <row r="998" customFormat="1" ht="15.75" customHeight="1" x14ac:dyDescent="0.25"/>
    <row r="999" customFormat="1" ht="15.75" customHeight="1" x14ac:dyDescent="0.25"/>
    <row r="1000" customFormat="1" ht="15.75" customHeight="1" x14ac:dyDescent="0.25"/>
  </sheetData>
  <mergeCells count="2">
    <mergeCell ref="B4:B5"/>
    <mergeCell ref="C4:C5"/>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C4011-0199-4955-879D-A536038DCDB6}">
  <dimension ref="A2:E23"/>
  <sheetViews>
    <sheetView zoomScale="110" zoomScaleNormal="110" workbookViewId="0">
      <selection activeCell="D5" sqref="D5"/>
    </sheetView>
  </sheetViews>
  <sheetFormatPr defaultRowHeight="15" x14ac:dyDescent="0.25"/>
  <cols>
    <col min="1" max="1" width="3.7109375" customWidth="1"/>
    <col min="2" max="2" width="33.85546875" customWidth="1"/>
    <col min="3" max="4" width="13.7109375" customWidth="1"/>
    <col min="5" max="5" width="13.28515625" customWidth="1"/>
    <col min="7" max="7" width="15.7109375" bestFit="1" customWidth="1"/>
  </cols>
  <sheetData>
    <row r="2" spans="1:5" ht="63" customHeight="1" x14ac:dyDescent="0.25">
      <c r="A2" s="73" t="s">
        <v>23</v>
      </c>
      <c r="B2" s="78" t="s">
        <v>141</v>
      </c>
      <c r="C2" s="79" t="s">
        <v>281</v>
      </c>
      <c r="D2" s="79" t="s">
        <v>408</v>
      </c>
      <c r="E2" s="79" t="s">
        <v>458</v>
      </c>
    </row>
    <row r="3" spans="1:5" x14ac:dyDescent="0.25">
      <c r="A3" s="39">
        <v>1</v>
      </c>
      <c r="B3" s="39" t="s">
        <v>140</v>
      </c>
      <c r="C3" s="40">
        <v>10</v>
      </c>
      <c r="D3" s="40">
        <v>3</v>
      </c>
      <c r="E3" s="77">
        <f t="shared" ref="E3:E11" si="0">D3/C3</f>
        <v>0.3</v>
      </c>
    </row>
    <row r="4" spans="1:5" x14ac:dyDescent="0.25">
      <c r="A4" s="39">
        <v>2</v>
      </c>
      <c r="B4" s="39" t="s">
        <v>139</v>
      </c>
      <c r="C4" s="40">
        <v>8</v>
      </c>
      <c r="D4" s="40">
        <v>5</v>
      </c>
      <c r="E4" s="77">
        <f t="shared" si="0"/>
        <v>0.625</v>
      </c>
    </row>
    <row r="5" spans="1:5" x14ac:dyDescent="0.25">
      <c r="A5" s="39">
        <v>3</v>
      </c>
      <c r="B5" s="39" t="s">
        <v>5</v>
      </c>
      <c r="C5" s="40">
        <v>25</v>
      </c>
      <c r="D5" s="40">
        <v>12</v>
      </c>
      <c r="E5" s="77">
        <f t="shared" si="0"/>
        <v>0.48</v>
      </c>
    </row>
    <row r="6" spans="1:5" x14ac:dyDescent="0.25">
      <c r="A6" s="39">
        <v>4</v>
      </c>
      <c r="B6" s="39" t="s">
        <v>138</v>
      </c>
      <c r="C6" s="40">
        <v>4</v>
      </c>
      <c r="D6" s="40">
        <v>2</v>
      </c>
      <c r="E6" s="77">
        <f t="shared" si="0"/>
        <v>0.5</v>
      </c>
    </row>
    <row r="7" spans="1:5" ht="28.5" x14ac:dyDescent="0.25">
      <c r="A7" s="39">
        <v>5</v>
      </c>
      <c r="B7" s="41" t="s">
        <v>407</v>
      </c>
      <c r="C7" s="40">
        <v>3</v>
      </c>
      <c r="D7" s="40">
        <v>2</v>
      </c>
      <c r="E7" s="77">
        <f t="shared" si="0"/>
        <v>0.66666666666666663</v>
      </c>
    </row>
    <row r="8" spans="1:5" x14ac:dyDescent="0.25">
      <c r="A8" s="39">
        <v>6</v>
      </c>
      <c r="B8" s="39" t="s">
        <v>137</v>
      </c>
      <c r="C8" s="40">
        <v>14</v>
      </c>
      <c r="D8" s="40">
        <v>6</v>
      </c>
      <c r="E8" s="77">
        <f t="shared" si="0"/>
        <v>0.42857142857142855</v>
      </c>
    </row>
    <row r="9" spans="1:5" x14ac:dyDescent="0.25">
      <c r="A9" s="39">
        <v>7</v>
      </c>
      <c r="B9" s="39" t="s">
        <v>136</v>
      </c>
      <c r="C9" s="40">
        <v>10</v>
      </c>
      <c r="D9" s="40">
        <v>7</v>
      </c>
      <c r="E9" s="77">
        <f t="shared" si="0"/>
        <v>0.7</v>
      </c>
    </row>
    <row r="10" spans="1:5" x14ac:dyDescent="0.25">
      <c r="A10" s="39">
        <v>8</v>
      </c>
      <c r="B10" s="39" t="s">
        <v>135</v>
      </c>
      <c r="C10" s="40">
        <v>0</v>
      </c>
      <c r="D10" s="40">
        <v>0</v>
      </c>
      <c r="E10" s="77" t="s">
        <v>9</v>
      </c>
    </row>
    <row r="11" spans="1:5" x14ac:dyDescent="0.25">
      <c r="A11" s="39">
        <v>9</v>
      </c>
      <c r="B11" s="39" t="s">
        <v>142</v>
      </c>
      <c r="C11" s="40">
        <v>3</v>
      </c>
      <c r="D11" s="40">
        <v>3</v>
      </c>
      <c r="E11" s="77">
        <f t="shared" si="0"/>
        <v>1</v>
      </c>
    </row>
    <row r="12" spans="1:5" x14ac:dyDescent="0.25">
      <c r="A12" s="39"/>
      <c r="B12" s="73" t="s">
        <v>134</v>
      </c>
      <c r="C12" s="74">
        <f>SUM(C3:C11)</f>
        <v>77</v>
      </c>
      <c r="D12" s="74">
        <f>SUM(D3:D11)</f>
        <v>40</v>
      </c>
      <c r="E12" s="80">
        <f>D12/C12</f>
        <v>0.51948051948051943</v>
      </c>
    </row>
    <row r="13" spans="1:5" ht="45" hidden="1" x14ac:dyDescent="0.25">
      <c r="B13" s="38" t="s">
        <v>133</v>
      </c>
    </row>
    <row r="14" spans="1:5" hidden="1" x14ac:dyDescent="0.25">
      <c r="A14">
        <v>1</v>
      </c>
      <c r="B14" s="37" t="s">
        <v>132</v>
      </c>
    </row>
    <row r="15" spans="1:5" hidden="1" x14ac:dyDescent="0.25">
      <c r="A15">
        <v>2</v>
      </c>
      <c r="B15" s="37" t="s">
        <v>131</v>
      </c>
    </row>
    <row r="16" spans="1:5" ht="30" hidden="1" x14ac:dyDescent="0.25">
      <c r="A16">
        <v>3</v>
      </c>
      <c r="B16" s="37" t="s">
        <v>130</v>
      </c>
    </row>
    <row r="17" spans="1:2" ht="75" hidden="1" x14ac:dyDescent="0.25">
      <c r="A17">
        <v>4</v>
      </c>
      <c r="B17" s="37" t="s">
        <v>129</v>
      </c>
    </row>
    <row r="18" spans="1:2" hidden="1" x14ac:dyDescent="0.25">
      <c r="A18">
        <v>5</v>
      </c>
      <c r="B18" s="36" t="s">
        <v>106</v>
      </c>
    </row>
    <row r="19" spans="1:2" ht="30" hidden="1" x14ac:dyDescent="0.25">
      <c r="B19" s="36" t="s">
        <v>128</v>
      </c>
    </row>
    <row r="20" spans="1:2" ht="75" hidden="1" x14ac:dyDescent="0.25">
      <c r="B20" s="36" t="s">
        <v>127</v>
      </c>
    </row>
    <row r="21" spans="1:2" ht="60" hidden="1" x14ac:dyDescent="0.25">
      <c r="B21" s="36" t="s">
        <v>126</v>
      </c>
    </row>
    <row r="22" spans="1:2" x14ac:dyDescent="0.25">
      <c r="B22" s="36"/>
    </row>
    <row r="23" spans="1:2" ht="105" hidden="1" x14ac:dyDescent="0.25">
      <c r="B23" s="36" t="s">
        <v>125</v>
      </c>
    </row>
  </sheetData>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5DC55-1031-4EAA-8624-7C89ADFC8D01}">
  <sheetPr>
    <pageSetUpPr fitToPage="1"/>
  </sheetPr>
  <dimension ref="A1:S83"/>
  <sheetViews>
    <sheetView zoomScaleNormal="100" workbookViewId="0">
      <pane ySplit="4" topLeftCell="A5" activePane="bottomLeft" state="frozen"/>
      <selection activeCell="M4" sqref="M4"/>
      <selection pane="bottomLeft"/>
    </sheetView>
  </sheetViews>
  <sheetFormatPr defaultColWidth="8.7109375" defaultRowHeight="13.5" x14ac:dyDescent="0.25"/>
  <cols>
    <col min="1" max="1" width="4.85546875" style="11" customWidth="1"/>
    <col min="2" max="2" width="15.42578125" style="11" customWidth="1"/>
    <col min="3" max="3" width="18.85546875" style="10" hidden="1" customWidth="1"/>
    <col min="4" max="4" width="13" style="11" customWidth="1"/>
    <col min="5" max="5" width="12.5703125" style="11" customWidth="1"/>
    <col min="6" max="6" width="55.7109375" style="10" customWidth="1"/>
    <col min="7" max="7" width="10.7109375" style="10" customWidth="1"/>
    <col min="8" max="8" width="10" style="10" customWidth="1"/>
    <col min="9" max="9" width="17.5703125" style="10" customWidth="1"/>
    <col min="10" max="10" width="43.28515625" style="10" customWidth="1"/>
    <col min="11" max="11" width="28.7109375" style="10" customWidth="1"/>
    <col min="12" max="12" width="26.7109375" style="10" customWidth="1"/>
    <col min="13" max="13" width="20" style="10" bestFit="1" customWidth="1"/>
    <col min="14" max="14" width="48.42578125" style="10" bestFit="1" customWidth="1"/>
    <col min="15" max="15" width="36.140625" style="10" bestFit="1" customWidth="1"/>
    <col min="16" max="16" width="23.42578125" style="10" bestFit="1" customWidth="1"/>
    <col min="17" max="17" width="60.5703125" style="10" bestFit="1" customWidth="1"/>
    <col min="18" max="18" width="34.28515625" style="10" customWidth="1"/>
    <col min="19" max="16384" width="8.7109375" style="10"/>
  </cols>
  <sheetData>
    <row r="1" spans="1:18" s="5" customFormat="1" x14ac:dyDescent="0.25">
      <c r="A1" s="4"/>
      <c r="B1" s="4"/>
      <c r="C1" s="4"/>
      <c r="D1" s="4"/>
      <c r="E1" s="22"/>
      <c r="Q1" s="24" t="s">
        <v>0</v>
      </c>
    </row>
    <row r="2" spans="1:18" s="5" customFormat="1" ht="16.5" x14ac:dyDescent="0.25">
      <c r="A2" s="44" t="s">
        <v>214</v>
      </c>
      <c r="B2" s="1"/>
      <c r="C2" s="1"/>
      <c r="D2" s="1"/>
      <c r="E2" s="22"/>
      <c r="F2" s="1"/>
      <c r="G2" s="1"/>
      <c r="H2" s="1"/>
      <c r="I2" s="1"/>
      <c r="J2" s="1"/>
      <c r="K2" s="1"/>
      <c r="L2" s="1"/>
      <c r="M2" s="1"/>
      <c r="N2" s="1"/>
      <c r="O2" s="1"/>
      <c r="P2" s="1"/>
    </row>
    <row r="3" spans="1:18" s="5" customFormat="1" x14ac:dyDescent="0.25">
      <c r="A3" s="4"/>
      <c r="B3" s="4"/>
      <c r="C3" s="4"/>
      <c r="D3" s="4"/>
      <c r="E3" s="22"/>
    </row>
    <row r="4" spans="1:18" s="5" customFormat="1" ht="83.25" customHeight="1" x14ac:dyDescent="0.25">
      <c r="A4" s="70" t="s">
        <v>23</v>
      </c>
      <c r="B4" s="70" t="s">
        <v>1</v>
      </c>
      <c r="C4" s="70" t="s">
        <v>12</v>
      </c>
      <c r="D4" s="70" t="s">
        <v>2</v>
      </c>
      <c r="E4" s="70" t="s">
        <v>100</v>
      </c>
      <c r="F4" s="70" t="s">
        <v>3</v>
      </c>
      <c r="G4" s="70" t="s">
        <v>498</v>
      </c>
      <c r="H4" s="70" t="s">
        <v>35</v>
      </c>
      <c r="I4" s="70" t="s">
        <v>32</v>
      </c>
      <c r="J4" s="70" t="s">
        <v>495</v>
      </c>
      <c r="K4" s="70" t="s">
        <v>496</v>
      </c>
      <c r="L4" s="70" t="s">
        <v>497</v>
      </c>
      <c r="M4" s="70" t="s">
        <v>4</v>
      </c>
      <c r="N4" s="70" t="s">
        <v>36</v>
      </c>
      <c r="O4" s="70" t="s">
        <v>397</v>
      </c>
      <c r="P4" s="109" t="s">
        <v>41</v>
      </c>
      <c r="Q4" s="46" t="s">
        <v>218</v>
      </c>
      <c r="R4" s="108" t="s">
        <v>551</v>
      </c>
    </row>
    <row r="5" spans="1:18" s="5" customFormat="1" ht="138" customHeight="1" x14ac:dyDescent="0.25">
      <c r="A5" s="6">
        <f>ROW(A1)</f>
        <v>1</v>
      </c>
      <c r="B5" s="2" t="s">
        <v>502</v>
      </c>
      <c r="C5" s="9" t="s">
        <v>15</v>
      </c>
      <c r="D5" s="2" t="s">
        <v>574</v>
      </c>
      <c r="E5" s="2" t="s">
        <v>39</v>
      </c>
      <c r="F5" s="111" t="s">
        <v>573</v>
      </c>
      <c r="G5" s="2" t="s">
        <v>500</v>
      </c>
      <c r="H5" s="2" t="s">
        <v>45</v>
      </c>
      <c r="I5" s="2" t="s">
        <v>505</v>
      </c>
      <c r="J5" s="71" t="s">
        <v>367</v>
      </c>
      <c r="K5" s="71" t="s">
        <v>368</v>
      </c>
      <c r="L5" s="6" t="s">
        <v>9</v>
      </c>
      <c r="M5" s="2" t="s">
        <v>503</v>
      </c>
      <c r="N5" s="2" t="s">
        <v>43</v>
      </c>
      <c r="O5" s="2" t="s">
        <v>44</v>
      </c>
      <c r="P5" s="2" t="s">
        <v>504</v>
      </c>
      <c r="Q5" s="9" t="s">
        <v>215</v>
      </c>
      <c r="R5" s="107" t="s">
        <v>9</v>
      </c>
    </row>
    <row r="6" spans="1:18" s="5" customFormat="1" ht="165" customHeight="1" x14ac:dyDescent="0.25">
      <c r="A6" s="6">
        <f t="shared" ref="A6:A69" si="0">ROW(A2)</f>
        <v>2</v>
      </c>
      <c r="B6" s="2" t="s">
        <v>576</v>
      </c>
      <c r="C6" s="9" t="s">
        <v>15</v>
      </c>
      <c r="D6" s="2" t="s">
        <v>575</v>
      </c>
      <c r="E6" s="2" t="s">
        <v>39</v>
      </c>
      <c r="F6" s="111" t="s">
        <v>507</v>
      </c>
      <c r="G6" s="2" t="s">
        <v>500</v>
      </c>
      <c r="H6" s="2" t="s">
        <v>45</v>
      </c>
      <c r="I6" s="2" t="s">
        <v>508</v>
      </c>
      <c r="J6" s="2" t="s">
        <v>595</v>
      </c>
      <c r="K6" s="71" t="s">
        <v>596</v>
      </c>
      <c r="L6" s="6" t="s">
        <v>9</v>
      </c>
      <c r="M6" s="2" t="s">
        <v>597</v>
      </c>
      <c r="N6" s="2" t="s">
        <v>43</v>
      </c>
      <c r="O6" s="2" t="s">
        <v>44</v>
      </c>
      <c r="P6" s="2" t="s">
        <v>504</v>
      </c>
      <c r="Q6" s="2" t="s">
        <v>409</v>
      </c>
      <c r="R6" s="107" t="s">
        <v>9</v>
      </c>
    </row>
    <row r="7" spans="1:18" s="5" customFormat="1" ht="78.75" customHeight="1" x14ac:dyDescent="0.25">
      <c r="A7" s="6">
        <f t="shared" si="0"/>
        <v>3</v>
      </c>
      <c r="B7" s="2" t="s">
        <v>271</v>
      </c>
      <c r="C7" s="9" t="s">
        <v>233</v>
      </c>
      <c r="D7" s="2" t="s">
        <v>598</v>
      </c>
      <c r="E7" s="2" t="s">
        <v>39</v>
      </c>
      <c r="F7" s="111" t="s">
        <v>599</v>
      </c>
      <c r="G7" s="2" t="s">
        <v>500</v>
      </c>
      <c r="H7" s="2" t="s">
        <v>45</v>
      </c>
      <c r="I7" s="2" t="s">
        <v>42</v>
      </c>
      <c r="J7" s="71" t="s">
        <v>367</v>
      </c>
      <c r="K7" s="2" t="s">
        <v>9</v>
      </c>
      <c r="L7" s="2" t="s">
        <v>9</v>
      </c>
      <c r="M7" s="2" t="s">
        <v>266</v>
      </c>
      <c r="N7" s="2" t="s">
        <v>43</v>
      </c>
      <c r="O7" s="7" t="s">
        <v>40</v>
      </c>
      <c r="P7" s="2" t="s">
        <v>232</v>
      </c>
      <c r="Q7" s="9" t="s">
        <v>216</v>
      </c>
      <c r="R7" s="107" t="s">
        <v>9</v>
      </c>
    </row>
    <row r="8" spans="1:18" s="5" customFormat="1" ht="105.75" customHeight="1" x14ac:dyDescent="0.25">
      <c r="A8" s="6">
        <f t="shared" si="0"/>
        <v>4</v>
      </c>
      <c r="B8" s="16" t="s">
        <v>46</v>
      </c>
      <c r="C8" s="47" t="s">
        <v>47</v>
      </c>
      <c r="D8" s="2" t="s">
        <v>601</v>
      </c>
      <c r="E8" s="16" t="s">
        <v>39</v>
      </c>
      <c r="F8" s="112" t="s">
        <v>247</v>
      </c>
      <c r="G8" s="2" t="s">
        <v>500</v>
      </c>
      <c r="H8" s="16" t="s">
        <v>45</v>
      </c>
      <c r="I8" s="16" t="s">
        <v>48</v>
      </c>
      <c r="J8" s="2" t="s">
        <v>9</v>
      </c>
      <c r="K8" s="71" t="s">
        <v>600</v>
      </c>
      <c r="L8" s="16" t="s">
        <v>9</v>
      </c>
      <c r="M8" s="16" t="s">
        <v>46</v>
      </c>
      <c r="N8" s="16" t="s">
        <v>147</v>
      </c>
      <c r="O8" s="48" t="s">
        <v>40</v>
      </c>
      <c r="P8" s="16" t="s">
        <v>46</v>
      </c>
      <c r="Q8" s="2" t="s">
        <v>410</v>
      </c>
      <c r="R8" s="107" t="s">
        <v>9</v>
      </c>
    </row>
    <row r="9" spans="1:18" s="5" customFormat="1" ht="172.5" customHeight="1" x14ac:dyDescent="0.25">
      <c r="A9" s="6">
        <f t="shared" si="0"/>
        <v>5</v>
      </c>
      <c r="B9" s="16" t="s">
        <v>46</v>
      </c>
      <c r="C9" s="9" t="s">
        <v>47</v>
      </c>
      <c r="D9" s="2" t="s">
        <v>601</v>
      </c>
      <c r="E9" s="2" t="s">
        <v>39</v>
      </c>
      <c r="F9" s="111" t="s">
        <v>605</v>
      </c>
      <c r="G9" s="2" t="s">
        <v>500</v>
      </c>
      <c r="H9" s="2" t="s">
        <v>45</v>
      </c>
      <c r="I9" s="2" t="s">
        <v>506</v>
      </c>
      <c r="J9" s="2" t="s">
        <v>9</v>
      </c>
      <c r="K9" s="71" t="s">
        <v>600</v>
      </c>
      <c r="L9" s="2" t="s">
        <v>49</v>
      </c>
      <c r="M9" s="2" t="s">
        <v>46</v>
      </c>
      <c r="N9" s="16" t="s">
        <v>147</v>
      </c>
      <c r="O9" s="7" t="s">
        <v>40</v>
      </c>
      <c r="P9" s="2" t="s">
        <v>46</v>
      </c>
      <c r="Q9" s="2" t="s">
        <v>411</v>
      </c>
      <c r="R9" s="107" t="s">
        <v>9</v>
      </c>
    </row>
    <row r="10" spans="1:18" s="5" customFormat="1" ht="102" x14ac:dyDescent="0.25">
      <c r="A10" s="6">
        <f t="shared" si="0"/>
        <v>6</v>
      </c>
      <c r="B10" s="16" t="s">
        <v>46</v>
      </c>
      <c r="C10" s="9" t="s">
        <v>98</v>
      </c>
      <c r="D10" s="2" t="s">
        <v>601</v>
      </c>
      <c r="E10" s="2" t="s">
        <v>39</v>
      </c>
      <c r="F10" s="111" t="s">
        <v>248</v>
      </c>
      <c r="G10" s="2" t="s">
        <v>500</v>
      </c>
      <c r="H10" s="2" t="s">
        <v>45</v>
      </c>
      <c r="I10" s="2" t="s">
        <v>249</v>
      </c>
      <c r="J10" s="71" t="s">
        <v>367</v>
      </c>
      <c r="K10" s="2" t="s">
        <v>9</v>
      </c>
      <c r="L10" s="2" t="s">
        <v>9</v>
      </c>
      <c r="M10" s="2" t="s">
        <v>269</v>
      </c>
      <c r="N10" s="16" t="s">
        <v>147</v>
      </c>
      <c r="O10" s="2" t="s">
        <v>44</v>
      </c>
      <c r="P10" s="2" t="s">
        <v>6</v>
      </c>
      <c r="Q10" s="2" t="s">
        <v>412</v>
      </c>
      <c r="R10" s="107" t="s">
        <v>9</v>
      </c>
    </row>
    <row r="11" spans="1:18" s="5" customFormat="1" ht="76.5" x14ac:dyDescent="0.25">
      <c r="A11" s="6">
        <f t="shared" si="0"/>
        <v>7</v>
      </c>
      <c r="B11" s="2" t="s">
        <v>272</v>
      </c>
      <c r="C11" s="9" t="s">
        <v>15</v>
      </c>
      <c r="D11" s="2" t="s">
        <v>246</v>
      </c>
      <c r="E11" s="2" t="s">
        <v>39</v>
      </c>
      <c r="F11" s="111" t="s">
        <v>235</v>
      </c>
      <c r="G11" s="2" t="s">
        <v>459</v>
      </c>
      <c r="H11" s="2" t="s">
        <v>45</v>
      </c>
      <c r="I11" s="2" t="s">
        <v>606</v>
      </c>
      <c r="J11" s="71" t="s">
        <v>367</v>
      </c>
      <c r="K11" s="6" t="s">
        <v>9</v>
      </c>
      <c r="L11" s="6" t="s">
        <v>9</v>
      </c>
      <c r="M11" s="2" t="s">
        <v>266</v>
      </c>
      <c r="N11" s="2" t="s">
        <v>43</v>
      </c>
      <c r="O11" s="2" t="s">
        <v>40</v>
      </c>
      <c r="P11" s="2" t="s">
        <v>232</v>
      </c>
      <c r="Q11" s="9" t="s">
        <v>217</v>
      </c>
      <c r="R11" s="107" t="s">
        <v>9</v>
      </c>
    </row>
    <row r="12" spans="1:18" s="5" customFormat="1" ht="102" x14ac:dyDescent="0.25">
      <c r="A12" s="6">
        <f t="shared" si="0"/>
        <v>8</v>
      </c>
      <c r="B12" s="2" t="s">
        <v>270</v>
      </c>
      <c r="C12" s="2" t="s">
        <v>9</v>
      </c>
      <c r="D12" s="2" t="s">
        <v>250</v>
      </c>
      <c r="E12" s="2" t="s">
        <v>39</v>
      </c>
      <c r="F12" s="111" t="s">
        <v>10</v>
      </c>
      <c r="G12" s="2" t="s">
        <v>501</v>
      </c>
      <c r="H12" s="2" t="s">
        <v>7</v>
      </c>
      <c r="I12" s="2" t="s">
        <v>249</v>
      </c>
      <c r="J12" s="2" t="s">
        <v>370</v>
      </c>
      <c r="K12" s="72" t="s">
        <v>369</v>
      </c>
      <c r="L12" s="6" t="s">
        <v>9</v>
      </c>
      <c r="M12" s="2" t="s">
        <v>6</v>
      </c>
      <c r="N12" s="2" t="s">
        <v>40</v>
      </c>
      <c r="O12" s="2" t="s">
        <v>44</v>
      </c>
      <c r="P12" s="2" t="s">
        <v>6</v>
      </c>
      <c r="Q12" s="2" t="s">
        <v>413</v>
      </c>
      <c r="R12" s="107" t="s">
        <v>9</v>
      </c>
    </row>
    <row r="13" spans="1:18" s="5" customFormat="1" ht="102" x14ac:dyDescent="0.25">
      <c r="A13" s="6">
        <f t="shared" si="0"/>
        <v>9</v>
      </c>
      <c r="B13" s="8" t="s">
        <v>236</v>
      </c>
      <c r="C13" s="2" t="s">
        <v>9</v>
      </c>
      <c r="D13" s="2" t="s">
        <v>237</v>
      </c>
      <c r="E13" s="2" t="s">
        <v>39</v>
      </c>
      <c r="F13" s="111" t="s">
        <v>273</v>
      </c>
      <c r="G13" s="2" t="s">
        <v>459</v>
      </c>
      <c r="H13" s="8" t="s">
        <v>7</v>
      </c>
      <c r="I13" s="8" t="s">
        <v>8</v>
      </c>
      <c r="J13" s="71" t="s">
        <v>367</v>
      </c>
      <c r="K13" s="27" t="s">
        <v>9</v>
      </c>
      <c r="L13" s="27" t="s">
        <v>9</v>
      </c>
      <c r="M13" s="8" t="s">
        <v>6</v>
      </c>
      <c r="N13" s="8" t="s">
        <v>375</v>
      </c>
      <c r="O13" s="2" t="s">
        <v>44</v>
      </c>
      <c r="P13" s="8" t="s">
        <v>6</v>
      </c>
      <c r="Q13" s="2" t="s">
        <v>251</v>
      </c>
      <c r="R13" s="107" t="s">
        <v>9</v>
      </c>
    </row>
    <row r="14" spans="1:18" s="5" customFormat="1" ht="89.25" x14ac:dyDescent="0.25">
      <c r="A14" s="6">
        <f t="shared" si="0"/>
        <v>10</v>
      </c>
      <c r="B14" s="8" t="s">
        <v>283</v>
      </c>
      <c r="C14" s="2" t="s">
        <v>285</v>
      </c>
      <c r="D14" s="2" t="s">
        <v>284</v>
      </c>
      <c r="E14" s="2" t="s">
        <v>39</v>
      </c>
      <c r="F14" s="111" t="s">
        <v>443</v>
      </c>
      <c r="G14" s="2" t="s">
        <v>459</v>
      </c>
      <c r="H14" s="8" t="s">
        <v>7</v>
      </c>
      <c r="I14" s="8" t="s">
        <v>371</v>
      </c>
      <c r="J14" s="71" t="s">
        <v>367</v>
      </c>
      <c r="K14" s="71" t="s">
        <v>368</v>
      </c>
      <c r="L14" s="27" t="s">
        <v>9</v>
      </c>
      <c r="M14" s="8" t="s">
        <v>6</v>
      </c>
      <c r="N14" s="2" t="s">
        <v>43</v>
      </c>
      <c r="O14" s="7" t="s">
        <v>40</v>
      </c>
      <c r="P14" s="2" t="s">
        <v>232</v>
      </c>
      <c r="Q14" s="9" t="s">
        <v>215</v>
      </c>
      <c r="R14" s="107" t="s">
        <v>9</v>
      </c>
    </row>
    <row r="15" spans="1:18" s="5" customFormat="1" ht="140.25" x14ac:dyDescent="0.25">
      <c r="A15" s="6">
        <f t="shared" si="0"/>
        <v>11</v>
      </c>
      <c r="B15" s="2" t="s">
        <v>238</v>
      </c>
      <c r="C15" s="9" t="s">
        <v>98</v>
      </c>
      <c r="D15" s="7" t="s">
        <v>11</v>
      </c>
      <c r="E15" s="9" t="s">
        <v>99</v>
      </c>
      <c r="F15" s="111" t="s">
        <v>527</v>
      </c>
      <c r="G15" s="2" t="s">
        <v>459</v>
      </c>
      <c r="H15" s="3" t="s">
        <v>7</v>
      </c>
      <c r="I15" s="3" t="s">
        <v>524</v>
      </c>
      <c r="J15" s="23" t="s">
        <v>9</v>
      </c>
      <c r="K15" s="72" t="s">
        <v>529</v>
      </c>
      <c r="L15" s="23" t="s">
        <v>9</v>
      </c>
      <c r="M15" s="2" t="s">
        <v>6</v>
      </c>
      <c r="N15" s="2" t="s">
        <v>526</v>
      </c>
      <c r="O15" s="2" t="s">
        <v>40</v>
      </c>
      <c r="P15" s="3" t="s">
        <v>240</v>
      </c>
      <c r="Q15" s="2" t="s">
        <v>525</v>
      </c>
      <c r="R15" s="107" t="s">
        <v>9</v>
      </c>
    </row>
    <row r="16" spans="1:18" s="5" customFormat="1" ht="191.25" x14ac:dyDescent="0.25">
      <c r="A16" s="6">
        <f t="shared" si="0"/>
        <v>12</v>
      </c>
      <c r="B16" s="2" t="s">
        <v>444</v>
      </c>
      <c r="C16" s="9" t="s">
        <v>98</v>
      </c>
      <c r="D16" s="7" t="s">
        <v>11</v>
      </c>
      <c r="E16" s="9" t="s">
        <v>99</v>
      </c>
      <c r="F16" s="111" t="s">
        <v>528</v>
      </c>
      <c r="G16" s="2" t="s">
        <v>501</v>
      </c>
      <c r="H16" s="3" t="s">
        <v>7</v>
      </c>
      <c r="I16" s="3" t="s">
        <v>239</v>
      </c>
      <c r="J16" s="23" t="s">
        <v>9</v>
      </c>
      <c r="K16" s="72" t="s">
        <v>529</v>
      </c>
      <c r="L16" s="23" t="s">
        <v>9</v>
      </c>
      <c r="M16" s="2" t="s">
        <v>6</v>
      </c>
      <c r="N16" s="2" t="s">
        <v>381</v>
      </c>
      <c r="O16" s="2" t="s">
        <v>40</v>
      </c>
      <c r="P16" s="3" t="s">
        <v>240</v>
      </c>
      <c r="Q16" s="2" t="s">
        <v>414</v>
      </c>
      <c r="R16" s="107" t="s">
        <v>9</v>
      </c>
    </row>
    <row r="17" spans="1:19" s="5" customFormat="1" ht="102" x14ac:dyDescent="0.25">
      <c r="A17" s="6">
        <f t="shared" si="0"/>
        <v>13</v>
      </c>
      <c r="B17" s="2" t="s">
        <v>271</v>
      </c>
      <c r="C17" s="9" t="s">
        <v>15</v>
      </c>
      <c r="D17" s="7" t="s">
        <v>11</v>
      </c>
      <c r="E17" s="9" t="s">
        <v>99</v>
      </c>
      <c r="F17" s="111" t="s">
        <v>122</v>
      </c>
      <c r="G17" s="2" t="s">
        <v>459</v>
      </c>
      <c r="H17" s="3" t="s">
        <v>45</v>
      </c>
      <c r="I17" s="3" t="s">
        <v>252</v>
      </c>
      <c r="J17" s="23" t="s">
        <v>9</v>
      </c>
      <c r="K17" s="71" t="s">
        <v>368</v>
      </c>
      <c r="L17" s="23" t="s">
        <v>9</v>
      </c>
      <c r="M17" s="2" t="s">
        <v>268</v>
      </c>
      <c r="N17" s="2" t="s">
        <v>102</v>
      </c>
      <c r="O17" s="2" t="s">
        <v>40</v>
      </c>
      <c r="P17" s="3" t="s">
        <v>240</v>
      </c>
      <c r="Q17" s="2" t="s">
        <v>415</v>
      </c>
      <c r="R17" s="107" t="s">
        <v>9</v>
      </c>
    </row>
    <row r="18" spans="1:19" s="5" customFormat="1" ht="89.25" x14ac:dyDescent="0.25">
      <c r="A18" s="6">
        <f t="shared" si="0"/>
        <v>14</v>
      </c>
      <c r="B18" s="2" t="s">
        <v>238</v>
      </c>
      <c r="C18" s="9" t="s">
        <v>9</v>
      </c>
      <c r="D18" s="7" t="s">
        <v>11</v>
      </c>
      <c r="E18" s="9" t="s">
        <v>99</v>
      </c>
      <c r="F18" s="111" t="s">
        <v>536</v>
      </c>
      <c r="G18" s="2" t="s">
        <v>459</v>
      </c>
      <c r="H18" s="3" t="s">
        <v>7</v>
      </c>
      <c r="I18" s="2" t="s">
        <v>238</v>
      </c>
      <c r="J18" s="23" t="s">
        <v>9</v>
      </c>
      <c r="K18" s="72" t="s">
        <v>537</v>
      </c>
      <c r="L18" s="23" t="s">
        <v>9</v>
      </c>
      <c r="M18" s="2" t="s">
        <v>6</v>
      </c>
      <c r="N18" s="2" t="s">
        <v>148</v>
      </c>
      <c r="O18" s="2" t="s">
        <v>103</v>
      </c>
      <c r="P18" s="3" t="s">
        <v>46</v>
      </c>
      <c r="Q18" s="2" t="s">
        <v>416</v>
      </c>
      <c r="R18" s="107" t="s">
        <v>9</v>
      </c>
    </row>
    <row r="19" spans="1:19" s="5" customFormat="1" ht="51" x14ac:dyDescent="0.25">
      <c r="A19" s="6">
        <f t="shared" si="0"/>
        <v>15</v>
      </c>
      <c r="B19" s="2" t="s">
        <v>253</v>
      </c>
      <c r="C19" s="9" t="s">
        <v>254</v>
      </c>
      <c r="D19" s="7" t="s">
        <v>11</v>
      </c>
      <c r="E19" s="9" t="s">
        <v>99</v>
      </c>
      <c r="F19" s="113" t="s">
        <v>539</v>
      </c>
      <c r="G19" s="2" t="s">
        <v>459</v>
      </c>
      <c r="H19" s="3" t="s">
        <v>45</v>
      </c>
      <c r="I19" s="3" t="s">
        <v>255</v>
      </c>
      <c r="J19" s="23" t="s">
        <v>9</v>
      </c>
      <c r="K19" s="72" t="s">
        <v>369</v>
      </c>
      <c r="L19" s="23" t="s">
        <v>9</v>
      </c>
      <c r="M19" s="2" t="s">
        <v>268</v>
      </c>
      <c r="N19" s="2" t="s">
        <v>104</v>
      </c>
      <c r="O19" s="2" t="s">
        <v>103</v>
      </c>
      <c r="P19" s="3" t="s">
        <v>253</v>
      </c>
      <c r="Q19" s="2" t="s">
        <v>417</v>
      </c>
      <c r="R19" s="107" t="s">
        <v>9</v>
      </c>
    </row>
    <row r="20" spans="1:19" s="5" customFormat="1" ht="51" x14ac:dyDescent="0.25">
      <c r="A20" s="6">
        <f t="shared" si="0"/>
        <v>16</v>
      </c>
      <c r="B20" s="2" t="s">
        <v>253</v>
      </c>
      <c r="C20" s="9" t="s">
        <v>254</v>
      </c>
      <c r="D20" s="7" t="s">
        <v>11</v>
      </c>
      <c r="E20" s="9" t="s">
        <v>99</v>
      </c>
      <c r="F20" s="113" t="s">
        <v>577</v>
      </c>
      <c r="G20" s="2" t="s">
        <v>459</v>
      </c>
      <c r="H20" s="3" t="s">
        <v>7</v>
      </c>
      <c r="I20" s="3" t="s">
        <v>439</v>
      </c>
      <c r="J20" s="23" t="s">
        <v>9</v>
      </c>
      <c r="K20" s="72" t="s">
        <v>369</v>
      </c>
      <c r="L20" s="23" t="s">
        <v>9</v>
      </c>
      <c r="M20" s="2" t="s">
        <v>268</v>
      </c>
      <c r="N20" s="2" t="s">
        <v>104</v>
      </c>
      <c r="O20" s="2" t="s">
        <v>103</v>
      </c>
      <c r="P20" s="3" t="s">
        <v>253</v>
      </c>
      <c r="Q20" s="2" t="s">
        <v>417</v>
      </c>
      <c r="R20" s="107" t="s">
        <v>9</v>
      </c>
    </row>
    <row r="21" spans="1:19" s="5" customFormat="1" ht="128.25" customHeight="1" x14ac:dyDescent="0.25">
      <c r="A21" s="6">
        <f t="shared" si="0"/>
        <v>17</v>
      </c>
      <c r="B21" s="2" t="s">
        <v>253</v>
      </c>
      <c r="C21" s="9" t="s">
        <v>254</v>
      </c>
      <c r="D21" s="7" t="s">
        <v>11</v>
      </c>
      <c r="E21" s="9" t="s">
        <v>99</v>
      </c>
      <c r="F21" s="111" t="s">
        <v>256</v>
      </c>
      <c r="G21" s="2" t="s">
        <v>459</v>
      </c>
      <c r="H21" s="3" t="s">
        <v>45</v>
      </c>
      <c r="I21" s="3" t="s">
        <v>255</v>
      </c>
      <c r="J21" s="23" t="s">
        <v>9</v>
      </c>
      <c r="K21" s="23" t="s">
        <v>9</v>
      </c>
      <c r="L21" s="2" t="s">
        <v>108</v>
      </c>
      <c r="M21" s="2" t="s">
        <v>268</v>
      </c>
      <c r="N21" s="2" t="s">
        <v>105</v>
      </c>
      <c r="O21" s="2" t="s">
        <v>103</v>
      </c>
      <c r="P21" s="3" t="s">
        <v>253</v>
      </c>
      <c r="Q21" s="2" t="s">
        <v>418</v>
      </c>
      <c r="R21" s="106"/>
    </row>
    <row r="22" spans="1:19" s="29" customFormat="1" ht="142.5" customHeight="1" x14ac:dyDescent="0.25">
      <c r="A22" s="6">
        <f t="shared" si="0"/>
        <v>18</v>
      </c>
      <c r="B22" s="2" t="s">
        <v>8</v>
      </c>
      <c r="C22" s="7"/>
      <c r="D22" s="7" t="s">
        <v>5</v>
      </c>
      <c r="E22" s="9" t="s">
        <v>99</v>
      </c>
      <c r="F22" s="111" t="s">
        <v>530</v>
      </c>
      <c r="G22" s="2" t="s">
        <v>500</v>
      </c>
      <c r="H22" s="8" t="s">
        <v>7</v>
      </c>
      <c r="I22" s="8" t="s">
        <v>8</v>
      </c>
      <c r="J22" s="23" t="s">
        <v>9</v>
      </c>
      <c r="K22" s="72" t="s">
        <v>369</v>
      </c>
      <c r="L22" s="2" t="s">
        <v>108</v>
      </c>
      <c r="M22" s="8" t="s">
        <v>6</v>
      </c>
      <c r="N22" s="2" t="s">
        <v>107</v>
      </c>
      <c r="O22" s="2" t="s">
        <v>103</v>
      </c>
      <c r="P22" s="8" t="s">
        <v>106</v>
      </c>
      <c r="Q22" s="35" t="s">
        <v>257</v>
      </c>
      <c r="R22" s="107" t="s">
        <v>9</v>
      </c>
    </row>
    <row r="23" spans="1:19" s="29" customFormat="1" ht="87.75" customHeight="1" x14ac:dyDescent="0.25">
      <c r="A23" s="6">
        <f t="shared" si="0"/>
        <v>19</v>
      </c>
      <c r="B23" s="2" t="s">
        <v>8</v>
      </c>
      <c r="C23" s="28"/>
      <c r="D23" s="7" t="s">
        <v>5</v>
      </c>
      <c r="E23" s="9" t="s">
        <v>99</v>
      </c>
      <c r="F23" s="111" t="s">
        <v>578</v>
      </c>
      <c r="G23" s="2" t="s">
        <v>459</v>
      </c>
      <c r="H23" s="8" t="s">
        <v>7</v>
      </c>
      <c r="I23" s="8" t="s">
        <v>8</v>
      </c>
      <c r="J23" s="23" t="s">
        <v>9</v>
      </c>
      <c r="K23" s="71" t="s">
        <v>368</v>
      </c>
      <c r="L23" s="2" t="s">
        <v>445</v>
      </c>
      <c r="M23" s="8" t="s">
        <v>6</v>
      </c>
      <c r="N23" s="2" t="s">
        <v>123</v>
      </c>
      <c r="O23" s="2" t="s">
        <v>103</v>
      </c>
      <c r="P23" s="8" t="s">
        <v>106</v>
      </c>
      <c r="Q23" s="28" t="s">
        <v>9</v>
      </c>
      <c r="R23" s="107" t="s">
        <v>9</v>
      </c>
    </row>
    <row r="24" spans="1:19" s="5" customFormat="1" ht="128.25" customHeight="1" x14ac:dyDescent="0.25">
      <c r="A24" s="6">
        <f t="shared" si="0"/>
        <v>20</v>
      </c>
      <c r="B24" s="2" t="s">
        <v>272</v>
      </c>
      <c r="C24" s="7" t="s">
        <v>9</v>
      </c>
      <c r="D24" s="7" t="s">
        <v>5</v>
      </c>
      <c r="E24" s="9" t="s">
        <v>99</v>
      </c>
      <c r="F24" s="111" t="s">
        <v>258</v>
      </c>
      <c r="G24" s="2" t="s">
        <v>459</v>
      </c>
      <c r="H24" s="8" t="s">
        <v>7</v>
      </c>
      <c r="I24" s="2" t="s">
        <v>259</v>
      </c>
      <c r="J24" s="23" t="s">
        <v>9</v>
      </c>
      <c r="K24" s="72" t="s">
        <v>369</v>
      </c>
      <c r="L24" s="23" t="s">
        <v>9</v>
      </c>
      <c r="M24" s="2" t="s">
        <v>268</v>
      </c>
      <c r="N24" s="2" t="s">
        <v>109</v>
      </c>
      <c r="O24" s="2" t="s">
        <v>103</v>
      </c>
      <c r="P24" s="2" t="s">
        <v>260</v>
      </c>
      <c r="Q24" s="9" t="s">
        <v>419</v>
      </c>
      <c r="R24" s="107" t="s">
        <v>9</v>
      </c>
    </row>
    <row r="25" spans="1:19" s="5" customFormat="1" ht="202.5" customHeight="1" x14ac:dyDescent="0.25">
      <c r="A25" s="6">
        <f t="shared" si="0"/>
        <v>21</v>
      </c>
      <c r="B25" s="2" t="s">
        <v>272</v>
      </c>
      <c r="C25" s="7"/>
      <c r="D25" s="7" t="s">
        <v>5</v>
      </c>
      <c r="E25" s="9" t="s">
        <v>99</v>
      </c>
      <c r="F25" s="111" t="s">
        <v>555</v>
      </c>
      <c r="G25" s="2" t="s">
        <v>500</v>
      </c>
      <c r="H25" s="3" t="s">
        <v>7</v>
      </c>
      <c r="I25" s="2" t="s">
        <v>259</v>
      </c>
      <c r="J25" s="23" t="s">
        <v>9</v>
      </c>
      <c r="K25" s="71" t="s">
        <v>553</v>
      </c>
      <c r="L25" s="23" t="s">
        <v>9</v>
      </c>
      <c r="M25" s="2" t="s">
        <v>268</v>
      </c>
      <c r="N25" s="2" t="s">
        <v>171</v>
      </c>
      <c r="O25" s="2" t="s">
        <v>103</v>
      </c>
      <c r="P25" s="2" t="s">
        <v>260</v>
      </c>
      <c r="Q25" s="9" t="s">
        <v>420</v>
      </c>
      <c r="R25" s="107" t="s">
        <v>9</v>
      </c>
    </row>
    <row r="26" spans="1:19" s="5" customFormat="1" ht="117.75" customHeight="1" x14ac:dyDescent="0.25">
      <c r="A26" s="6">
        <f t="shared" si="0"/>
        <v>22</v>
      </c>
      <c r="B26" s="2" t="s">
        <v>271</v>
      </c>
      <c r="C26" s="7"/>
      <c r="D26" s="7" t="s">
        <v>5</v>
      </c>
      <c r="E26" s="9" t="s">
        <v>99</v>
      </c>
      <c r="F26" s="111" t="s">
        <v>607</v>
      </c>
      <c r="G26" s="2" t="s">
        <v>500</v>
      </c>
      <c r="H26" s="3" t="s">
        <v>45</v>
      </c>
      <c r="I26" s="2" t="s">
        <v>113</v>
      </c>
      <c r="J26" s="23" t="s">
        <v>9</v>
      </c>
      <c r="K26" s="71" t="s">
        <v>553</v>
      </c>
      <c r="L26" s="23" t="s">
        <v>9</v>
      </c>
      <c r="M26" s="2" t="s">
        <v>266</v>
      </c>
      <c r="N26" s="2" t="s">
        <v>382</v>
      </c>
      <c r="O26" s="2" t="s">
        <v>103</v>
      </c>
      <c r="P26" s="2" t="s">
        <v>241</v>
      </c>
      <c r="Q26" s="9" t="s">
        <v>421</v>
      </c>
      <c r="R26" s="106" t="s">
        <v>579</v>
      </c>
    </row>
    <row r="27" spans="1:19" s="5" customFormat="1" ht="94.5" customHeight="1" x14ac:dyDescent="0.25">
      <c r="A27" s="6">
        <f t="shared" si="0"/>
        <v>23</v>
      </c>
      <c r="B27" s="16" t="s">
        <v>46</v>
      </c>
      <c r="C27" s="7"/>
      <c r="D27" s="7" t="s">
        <v>5</v>
      </c>
      <c r="E27" s="9" t="s">
        <v>99</v>
      </c>
      <c r="F27" s="111" t="s">
        <v>264</v>
      </c>
      <c r="G27" s="2" t="s">
        <v>500</v>
      </c>
      <c r="H27" s="3" t="s">
        <v>7</v>
      </c>
      <c r="I27" s="3" t="s">
        <v>46</v>
      </c>
      <c r="J27" s="23" t="s">
        <v>9</v>
      </c>
      <c r="K27" s="72" t="s">
        <v>369</v>
      </c>
      <c r="L27" s="23" t="s">
        <v>9</v>
      </c>
      <c r="M27" s="2" t="s">
        <v>6</v>
      </c>
      <c r="N27" s="2"/>
      <c r="O27" s="2" t="s">
        <v>103</v>
      </c>
      <c r="P27" s="2" t="s">
        <v>110</v>
      </c>
      <c r="Q27" s="9" t="s">
        <v>265</v>
      </c>
      <c r="R27" s="107" t="s">
        <v>9</v>
      </c>
    </row>
    <row r="28" spans="1:19" s="5" customFormat="1" ht="114.75" customHeight="1" x14ac:dyDescent="0.25">
      <c r="A28" s="6">
        <f t="shared" si="0"/>
        <v>24</v>
      </c>
      <c r="B28" s="2" t="s">
        <v>8</v>
      </c>
      <c r="C28" s="7"/>
      <c r="D28" s="7" t="s">
        <v>5</v>
      </c>
      <c r="E28" s="9" t="s">
        <v>99</v>
      </c>
      <c r="F28" s="111" t="s">
        <v>465</v>
      </c>
      <c r="G28" s="2" t="s">
        <v>501</v>
      </c>
      <c r="H28" s="3" t="s">
        <v>7</v>
      </c>
      <c r="I28" s="3" t="s">
        <v>106</v>
      </c>
      <c r="J28" s="23" t="s">
        <v>9</v>
      </c>
      <c r="K28" s="72" t="s">
        <v>369</v>
      </c>
      <c r="L28" s="23" t="s">
        <v>9</v>
      </c>
      <c r="M28" s="2" t="s">
        <v>6</v>
      </c>
      <c r="N28" s="2" t="s">
        <v>143</v>
      </c>
      <c r="O28" s="2" t="s">
        <v>40</v>
      </c>
      <c r="P28" s="2" t="s">
        <v>144</v>
      </c>
      <c r="Q28" s="9" t="s">
        <v>422</v>
      </c>
      <c r="R28" s="107"/>
    </row>
    <row r="29" spans="1:19" s="5" customFormat="1" ht="94.5" customHeight="1" x14ac:dyDescent="0.25">
      <c r="A29" s="6">
        <f t="shared" si="0"/>
        <v>25</v>
      </c>
      <c r="B29" s="16" t="s">
        <v>46</v>
      </c>
      <c r="C29" s="7"/>
      <c r="D29" s="7" t="s">
        <v>5</v>
      </c>
      <c r="E29" s="9" t="s">
        <v>99</v>
      </c>
      <c r="F29" s="112" t="s">
        <v>423</v>
      </c>
      <c r="G29" s="2" t="s">
        <v>459</v>
      </c>
      <c r="H29" s="3" t="s">
        <v>7</v>
      </c>
      <c r="I29" s="3" t="s">
        <v>46</v>
      </c>
      <c r="J29" s="23" t="s">
        <v>9</v>
      </c>
      <c r="K29" s="72" t="s">
        <v>369</v>
      </c>
      <c r="L29" s="23" t="s">
        <v>9</v>
      </c>
      <c r="M29" s="2" t="s">
        <v>6</v>
      </c>
      <c r="N29" s="2" t="s">
        <v>145</v>
      </c>
      <c r="O29" s="2" t="s">
        <v>103</v>
      </c>
      <c r="P29" s="2" t="s">
        <v>46</v>
      </c>
      <c r="Q29" s="9" t="s">
        <v>424</v>
      </c>
      <c r="R29" s="107"/>
    </row>
    <row r="30" spans="1:19" s="5" customFormat="1" ht="195" customHeight="1" x14ac:dyDescent="0.25">
      <c r="A30" s="6">
        <f t="shared" si="0"/>
        <v>26</v>
      </c>
      <c r="B30" s="16" t="s">
        <v>46</v>
      </c>
      <c r="C30" s="7"/>
      <c r="D30" s="7" t="s">
        <v>5</v>
      </c>
      <c r="E30" s="9" t="s">
        <v>99</v>
      </c>
      <c r="F30" s="112" t="s">
        <v>466</v>
      </c>
      <c r="G30" s="2" t="s">
        <v>501</v>
      </c>
      <c r="H30" s="3" t="s">
        <v>7</v>
      </c>
      <c r="I30" s="3" t="s">
        <v>274</v>
      </c>
      <c r="J30" s="23" t="s">
        <v>9</v>
      </c>
      <c r="K30" s="72" t="s">
        <v>369</v>
      </c>
      <c r="L30" s="23" t="s">
        <v>9</v>
      </c>
      <c r="M30" s="2" t="s">
        <v>6</v>
      </c>
      <c r="N30" s="2" t="s">
        <v>170</v>
      </c>
      <c r="O30" s="2" t="s">
        <v>40</v>
      </c>
      <c r="P30" s="2" t="s">
        <v>46</v>
      </c>
      <c r="Q30" s="9" t="s">
        <v>425</v>
      </c>
      <c r="R30" s="107"/>
    </row>
    <row r="31" spans="1:19" s="5" customFormat="1" ht="188.25" customHeight="1" x14ac:dyDescent="0.25">
      <c r="A31" s="6">
        <f t="shared" si="0"/>
        <v>27</v>
      </c>
      <c r="B31" s="2" t="s">
        <v>271</v>
      </c>
      <c r="C31" s="7"/>
      <c r="D31" s="7" t="s">
        <v>5</v>
      </c>
      <c r="E31" s="9" t="s">
        <v>99</v>
      </c>
      <c r="F31" s="111" t="s">
        <v>531</v>
      </c>
      <c r="G31" s="2" t="s">
        <v>500</v>
      </c>
      <c r="H31" s="3" t="s">
        <v>45</v>
      </c>
      <c r="I31" s="3" t="s">
        <v>532</v>
      </c>
      <c r="J31" s="3" t="s">
        <v>372</v>
      </c>
      <c r="K31" s="23" t="s">
        <v>9</v>
      </c>
      <c r="L31" s="23" t="s">
        <v>9</v>
      </c>
      <c r="M31" s="2" t="s">
        <v>503</v>
      </c>
      <c r="N31" s="2" t="s">
        <v>149</v>
      </c>
      <c r="O31" s="2" t="s">
        <v>40</v>
      </c>
      <c r="P31" s="2" t="s">
        <v>260</v>
      </c>
      <c r="Q31" s="9" t="s">
        <v>426</v>
      </c>
      <c r="R31" s="106"/>
      <c r="S31" s="5" t="s">
        <v>571</v>
      </c>
    </row>
    <row r="32" spans="1:19" s="5" customFormat="1" ht="199.5" customHeight="1" x14ac:dyDescent="0.25">
      <c r="A32" s="6">
        <f t="shared" si="0"/>
        <v>28</v>
      </c>
      <c r="B32" s="2" t="s">
        <v>272</v>
      </c>
      <c r="C32" s="28"/>
      <c r="D32" s="28" t="s">
        <v>5</v>
      </c>
      <c r="E32" s="35" t="s">
        <v>99</v>
      </c>
      <c r="F32" s="111" t="s">
        <v>120</v>
      </c>
      <c r="G32" s="2" t="s">
        <v>501</v>
      </c>
      <c r="H32" s="8" t="s">
        <v>45</v>
      </c>
      <c r="I32" s="8" t="s">
        <v>46</v>
      </c>
      <c r="J32" s="8" t="s">
        <v>373</v>
      </c>
      <c r="K32" s="72" t="s">
        <v>369</v>
      </c>
      <c r="L32" s="27" t="s">
        <v>9</v>
      </c>
      <c r="M32" s="8" t="s">
        <v>46</v>
      </c>
      <c r="N32" s="8" t="s">
        <v>387</v>
      </c>
      <c r="O32" s="8" t="s">
        <v>40</v>
      </c>
      <c r="P32" s="8" t="s">
        <v>46</v>
      </c>
      <c r="Q32" s="9" t="s">
        <v>427</v>
      </c>
      <c r="R32" s="106"/>
    </row>
    <row r="33" spans="1:18" s="5" customFormat="1" ht="99.75" customHeight="1" x14ac:dyDescent="0.25">
      <c r="A33" s="6">
        <f t="shared" si="0"/>
        <v>29</v>
      </c>
      <c r="B33" s="16" t="s">
        <v>46</v>
      </c>
      <c r="C33" s="28"/>
      <c r="D33" s="28" t="s">
        <v>5</v>
      </c>
      <c r="E33" s="35" t="s">
        <v>99</v>
      </c>
      <c r="F33" s="111" t="s">
        <v>429</v>
      </c>
      <c r="G33" s="2" t="s">
        <v>459</v>
      </c>
      <c r="H33" s="8" t="s">
        <v>45</v>
      </c>
      <c r="I33" s="8" t="s">
        <v>48</v>
      </c>
      <c r="J33" s="23" t="s">
        <v>9</v>
      </c>
      <c r="K33" s="72" t="s">
        <v>369</v>
      </c>
      <c r="L33" s="23" t="s">
        <v>9</v>
      </c>
      <c r="M33" s="8" t="s">
        <v>46</v>
      </c>
      <c r="N33" s="8" t="s">
        <v>40</v>
      </c>
      <c r="O33" s="8" t="s">
        <v>40</v>
      </c>
      <c r="P33" s="8" t="s">
        <v>276</v>
      </c>
      <c r="Q33" s="9" t="s">
        <v>428</v>
      </c>
      <c r="R33" s="106"/>
    </row>
    <row r="34" spans="1:18" s="5" customFormat="1" ht="63.75" x14ac:dyDescent="0.25">
      <c r="A34" s="6">
        <f t="shared" si="0"/>
        <v>30</v>
      </c>
      <c r="B34" s="16" t="s">
        <v>277</v>
      </c>
      <c r="C34" s="28"/>
      <c r="D34" s="28" t="s">
        <v>5</v>
      </c>
      <c r="E34" s="35" t="s">
        <v>99</v>
      </c>
      <c r="F34" s="112" t="s">
        <v>467</v>
      </c>
      <c r="G34" s="2" t="s">
        <v>459</v>
      </c>
      <c r="H34" s="8" t="s">
        <v>45</v>
      </c>
      <c r="I34" s="8" t="s">
        <v>278</v>
      </c>
      <c r="J34" s="3" t="s">
        <v>398</v>
      </c>
      <c r="K34" s="23" t="s">
        <v>9</v>
      </c>
      <c r="L34" s="23" t="s">
        <v>9</v>
      </c>
      <c r="M34" s="8" t="s">
        <v>279</v>
      </c>
      <c r="N34" s="8" t="s">
        <v>40</v>
      </c>
      <c r="O34" s="8" t="s">
        <v>40</v>
      </c>
      <c r="P34" s="8" t="s">
        <v>279</v>
      </c>
      <c r="Q34" s="9" t="s">
        <v>9</v>
      </c>
      <c r="R34" s="106"/>
    </row>
    <row r="35" spans="1:18" s="5" customFormat="1" ht="95.25" customHeight="1" x14ac:dyDescent="0.25">
      <c r="A35" s="6">
        <f t="shared" si="0"/>
        <v>31</v>
      </c>
      <c r="B35" s="16" t="s">
        <v>46</v>
      </c>
      <c r="C35" s="28"/>
      <c r="D35" s="28" t="s">
        <v>5</v>
      </c>
      <c r="E35" s="35" t="s">
        <v>99</v>
      </c>
      <c r="F35" s="111" t="s">
        <v>572</v>
      </c>
      <c r="G35" s="2" t="s">
        <v>459</v>
      </c>
      <c r="H35" s="8" t="s">
        <v>45</v>
      </c>
      <c r="I35" s="8" t="s">
        <v>280</v>
      </c>
      <c r="J35" s="23" t="s">
        <v>9</v>
      </c>
      <c r="K35" s="72" t="s">
        <v>369</v>
      </c>
      <c r="L35" s="23" t="s">
        <v>9</v>
      </c>
      <c r="M35" s="8" t="s">
        <v>279</v>
      </c>
      <c r="N35" s="8" t="s">
        <v>40</v>
      </c>
      <c r="O35" s="8" t="s">
        <v>40</v>
      </c>
      <c r="P35" s="8" t="s">
        <v>279</v>
      </c>
      <c r="Q35" s="9" t="s">
        <v>428</v>
      </c>
      <c r="R35" s="106"/>
    </row>
    <row r="36" spans="1:18" s="5" customFormat="1" ht="95.25" customHeight="1" x14ac:dyDescent="0.25">
      <c r="A36" s="6">
        <f t="shared" si="0"/>
        <v>32</v>
      </c>
      <c r="B36" s="16" t="s">
        <v>46</v>
      </c>
      <c r="C36" s="28"/>
      <c r="D36" s="28" t="s">
        <v>5</v>
      </c>
      <c r="E36" s="35" t="s">
        <v>99</v>
      </c>
      <c r="F36" s="111" t="s">
        <v>552</v>
      </c>
      <c r="G36" s="2" t="s">
        <v>459</v>
      </c>
      <c r="H36" s="8" t="s">
        <v>7</v>
      </c>
      <c r="I36" s="8" t="s">
        <v>46</v>
      </c>
      <c r="J36" s="23" t="s">
        <v>9</v>
      </c>
      <c r="K36" s="72" t="s">
        <v>369</v>
      </c>
      <c r="L36" s="23" t="s">
        <v>9</v>
      </c>
      <c r="M36" s="8" t="s">
        <v>279</v>
      </c>
      <c r="N36" s="8" t="s">
        <v>40</v>
      </c>
      <c r="O36" s="8" t="s">
        <v>40</v>
      </c>
      <c r="P36" s="8" t="s">
        <v>279</v>
      </c>
      <c r="Q36" s="9" t="s">
        <v>428</v>
      </c>
      <c r="R36" s="107"/>
    </row>
    <row r="37" spans="1:18" s="5" customFormat="1" ht="176.25" customHeight="1" x14ac:dyDescent="0.25">
      <c r="A37" s="6">
        <f t="shared" si="0"/>
        <v>33</v>
      </c>
      <c r="B37" s="2" t="s">
        <v>272</v>
      </c>
      <c r="C37" s="28"/>
      <c r="D37" s="28" t="s">
        <v>14</v>
      </c>
      <c r="E37" s="35" t="s">
        <v>99</v>
      </c>
      <c r="F37" s="111" t="s">
        <v>402</v>
      </c>
      <c r="G37" s="2" t="s">
        <v>459</v>
      </c>
      <c r="H37" s="8" t="s">
        <v>7</v>
      </c>
      <c r="I37" s="8" t="s">
        <v>395</v>
      </c>
      <c r="J37" s="23" t="s">
        <v>9</v>
      </c>
      <c r="K37" s="72" t="s">
        <v>468</v>
      </c>
      <c r="L37" s="23" t="s">
        <v>9</v>
      </c>
      <c r="M37" s="8" t="s">
        <v>279</v>
      </c>
      <c r="N37" s="3" t="s">
        <v>396</v>
      </c>
      <c r="O37" s="8" t="s">
        <v>40</v>
      </c>
      <c r="P37" s="8" t="s">
        <v>394</v>
      </c>
      <c r="Q37" s="9" t="s">
        <v>428</v>
      </c>
      <c r="R37" s="106"/>
    </row>
    <row r="38" spans="1:18" s="5" customFormat="1" ht="108" customHeight="1" x14ac:dyDescent="0.25">
      <c r="A38" s="6">
        <f t="shared" si="0"/>
        <v>34</v>
      </c>
      <c r="B38" s="2" t="s">
        <v>275</v>
      </c>
      <c r="C38" s="28"/>
      <c r="D38" s="28" t="s">
        <v>14</v>
      </c>
      <c r="E38" s="35" t="s">
        <v>99</v>
      </c>
      <c r="F38" s="111" t="s">
        <v>533</v>
      </c>
      <c r="G38" s="2" t="s">
        <v>459</v>
      </c>
      <c r="H38" s="8" t="s">
        <v>7</v>
      </c>
      <c r="I38" s="8" t="s">
        <v>393</v>
      </c>
      <c r="J38" s="23" t="s">
        <v>9</v>
      </c>
      <c r="K38" s="72" t="s">
        <v>369</v>
      </c>
      <c r="L38" s="23" t="s">
        <v>9</v>
      </c>
      <c r="M38" s="8" t="s">
        <v>279</v>
      </c>
      <c r="N38" s="27" t="s">
        <v>399</v>
      </c>
      <c r="O38" s="8" t="s">
        <v>40</v>
      </c>
      <c r="P38" s="8" t="s">
        <v>394</v>
      </c>
      <c r="Q38" s="9" t="s">
        <v>428</v>
      </c>
      <c r="R38" s="106"/>
    </row>
    <row r="39" spans="1:18" s="5" customFormat="1" ht="69" customHeight="1" x14ac:dyDescent="0.25">
      <c r="A39" s="6">
        <f t="shared" si="0"/>
        <v>35</v>
      </c>
      <c r="B39" s="2" t="s">
        <v>275</v>
      </c>
      <c r="C39" s="28"/>
      <c r="D39" s="28" t="s">
        <v>14</v>
      </c>
      <c r="E39" s="35" t="s">
        <v>99</v>
      </c>
      <c r="F39" s="113" t="s">
        <v>366</v>
      </c>
      <c r="G39" s="2" t="s">
        <v>459</v>
      </c>
      <c r="H39" s="8" t="s">
        <v>45</v>
      </c>
      <c r="I39" s="8" t="s">
        <v>400</v>
      </c>
      <c r="J39" s="23" t="s">
        <v>9</v>
      </c>
      <c r="K39" s="72" t="s">
        <v>369</v>
      </c>
      <c r="L39" s="23" t="s">
        <v>9</v>
      </c>
      <c r="M39" s="8" t="s">
        <v>279</v>
      </c>
      <c r="N39" s="27" t="s">
        <v>399</v>
      </c>
      <c r="O39" s="8"/>
      <c r="P39" s="8" t="s">
        <v>394</v>
      </c>
      <c r="Q39" s="9" t="s">
        <v>428</v>
      </c>
      <c r="R39" s="106"/>
    </row>
    <row r="40" spans="1:18" s="5" customFormat="1" ht="59.25" customHeight="1" x14ac:dyDescent="0.25">
      <c r="A40" s="6">
        <f t="shared" si="0"/>
        <v>36</v>
      </c>
      <c r="B40" s="2" t="s">
        <v>272</v>
      </c>
      <c r="C40" s="28"/>
      <c r="D40" s="28" t="s">
        <v>112</v>
      </c>
      <c r="E40" s="35" t="s">
        <v>99</v>
      </c>
      <c r="F40" s="111" t="s">
        <v>114</v>
      </c>
      <c r="G40" s="2" t="s">
        <v>459</v>
      </c>
      <c r="H40" s="8" t="s">
        <v>45</v>
      </c>
      <c r="I40" s="8" t="s">
        <v>115</v>
      </c>
      <c r="J40" s="23" t="s">
        <v>9</v>
      </c>
      <c r="K40" s="8"/>
      <c r="L40" s="27"/>
      <c r="M40" s="8"/>
      <c r="N40" s="27" t="s">
        <v>399</v>
      </c>
      <c r="O40" s="8"/>
      <c r="P40" s="8"/>
      <c r="Q40" s="7"/>
      <c r="R40" s="107"/>
    </row>
    <row r="41" spans="1:18" s="5" customFormat="1" ht="152.25" customHeight="1" x14ac:dyDescent="0.25">
      <c r="A41" s="6">
        <f t="shared" si="0"/>
        <v>37</v>
      </c>
      <c r="B41" s="2" t="s">
        <v>272</v>
      </c>
      <c r="C41" s="28"/>
      <c r="D41" s="28" t="s">
        <v>112</v>
      </c>
      <c r="E41" s="35" t="s">
        <v>99</v>
      </c>
      <c r="F41" s="111" t="s">
        <v>580</v>
      </c>
      <c r="G41" s="2" t="s">
        <v>459</v>
      </c>
      <c r="H41" s="8" t="s">
        <v>7</v>
      </c>
      <c r="I41" s="2" t="s">
        <v>404</v>
      </c>
      <c r="J41" s="27"/>
      <c r="K41" s="8"/>
      <c r="L41" s="27"/>
      <c r="M41" s="8"/>
      <c r="N41" s="27" t="s">
        <v>399</v>
      </c>
      <c r="O41" s="8"/>
      <c r="P41" s="8"/>
      <c r="Q41" s="7"/>
      <c r="R41" s="106"/>
    </row>
    <row r="42" spans="1:18" s="5" customFormat="1" ht="137.25" customHeight="1" x14ac:dyDescent="0.25">
      <c r="A42" s="6">
        <f t="shared" si="0"/>
        <v>38</v>
      </c>
      <c r="B42" s="2" t="s">
        <v>272</v>
      </c>
      <c r="C42" s="28"/>
      <c r="D42" s="28" t="s">
        <v>112</v>
      </c>
      <c r="E42" s="35" t="s">
        <v>99</v>
      </c>
      <c r="F42" s="111" t="s">
        <v>581</v>
      </c>
      <c r="G42" s="2" t="s">
        <v>459</v>
      </c>
      <c r="H42" s="8" t="s">
        <v>7</v>
      </c>
      <c r="I42" s="2" t="s">
        <v>404</v>
      </c>
      <c r="J42" s="27"/>
      <c r="K42" s="8"/>
      <c r="L42" s="27"/>
      <c r="M42" s="8" t="s">
        <v>266</v>
      </c>
      <c r="N42" s="27" t="s">
        <v>399</v>
      </c>
      <c r="O42" s="8" t="s">
        <v>40</v>
      </c>
      <c r="P42" s="8" t="s">
        <v>266</v>
      </c>
      <c r="Q42" s="9" t="s">
        <v>428</v>
      </c>
      <c r="R42" s="106"/>
    </row>
    <row r="43" spans="1:18" s="5" customFormat="1" ht="85.5" customHeight="1" x14ac:dyDescent="0.25">
      <c r="A43" s="6">
        <f t="shared" si="0"/>
        <v>39</v>
      </c>
      <c r="B43" s="2" t="s">
        <v>272</v>
      </c>
      <c r="C43" s="28"/>
      <c r="D43" s="28" t="s">
        <v>112</v>
      </c>
      <c r="E43" s="35" t="s">
        <v>99</v>
      </c>
      <c r="F43" s="111" t="s">
        <v>430</v>
      </c>
      <c r="G43" s="2" t="s">
        <v>459</v>
      </c>
      <c r="H43" s="8" t="s">
        <v>45</v>
      </c>
      <c r="I43" s="2" t="s">
        <v>404</v>
      </c>
      <c r="J43" s="27"/>
      <c r="K43" s="8"/>
      <c r="L43" s="27"/>
      <c r="M43" s="8"/>
      <c r="N43" s="27" t="s">
        <v>399</v>
      </c>
      <c r="O43" s="8"/>
      <c r="P43" s="8"/>
      <c r="Q43" s="7"/>
      <c r="R43" s="107"/>
    </row>
    <row r="44" spans="1:18" s="5" customFormat="1" ht="102" x14ac:dyDescent="0.25">
      <c r="A44" s="6">
        <f t="shared" si="0"/>
        <v>40</v>
      </c>
      <c r="B44" s="2" t="s">
        <v>272</v>
      </c>
      <c r="C44" s="28"/>
      <c r="D44" s="28" t="s">
        <v>112</v>
      </c>
      <c r="E44" s="35" t="s">
        <v>99</v>
      </c>
      <c r="F44" s="113" t="s">
        <v>561</v>
      </c>
      <c r="G44" s="2" t="s">
        <v>459</v>
      </c>
      <c r="H44" s="8" t="s">
        <v>45</v>
      </c>
      <c r="I44" s="2" t="s">
        <v>404</v>
      </c>
      <c r="J44" s="27"/>
      <c r="K44" s="8"/>
      <c r="L44" s="27"/>
      <c r="M44" s="8"/>
      <c r="N44" s="27" t="s">
        <v>399</v>
      </c>
      <c r="O44" s="8"/>
      <c r="P44" s="8"/>
      <c r="Q44" s="7"/>
      <c r="R44" s="107"/>
    </row>
    <row r="45" spans="1:18" s="5" customFormat="1" ht="103.5" customHeight="1" x14ac:dyDescent="0.25">
      <c r="A45" s="6">
        <f t="shared" si="0"/>
        <v>41</v>
      </c>
      <c r="B45" s="2" t="s">
        <v>272</v>
      </c>
      <c r="C45" s="28"/>
      <c r="D45" s="28" t="s">
        <v>112</v>
      </c>
      <c r="E45" s="35" t="s">
        <v>99</v>
      </c>
      <c r="F45" s="111" t="s">
        <v>406</v>
      </c>
      <c r="G45" s="2" t="s">
        <v>459</v>
      </c>
      <c r="H45" s="8" t="s">
        <v>7</v>
      </c>
      <c r="I45" s="2" t="s">
        <v>403</v>
      </c>
      <c r="J45" s="23" t="s">
        <v>9</v>
      </c>
      <c r="K45" s="72" t="s">
        <v>468</v>
      </c>
      <c r="L45" s="23" t="s">
        <v>9</v>
      </c>
      <c r="M45" s="8" t="s">
        <v>266</v>
      </c>
      <c r="N45" s="27" t="s">
        <v>399</v>
      </c>
      <c r="O45" s="8" t="s">
        <v>40</v>
      </c>
      <c r="P45" s="8" t="s">
        <v>266</v>
      </c>
      <c r="Q45" s="9" t="s">
        <v>428</v>
      </c>
      <c r="R45" s="107"/>
    </row>
    <row r="46" spans="1:18" s="5" customFormat="1" ht="81" customHeight="1" x14ac:dyDescent="0.25">
      <c r="A46" s="6">
        <f t="shared" si="0"/>
        <v>42</v>
      </c>
      <c r="B46" s="2" t="s">
        <v>272</v>
      </c>
      <c r="C46" s="28"/>
      <c r="D46" s="28" t="s">
        <v>112</v>
      </c>
      <c r="E46" s="35" t="s">
        <v>99</v>
      </c>
      <c r="F46" s="111" t="s">
        <v>405</v>
      </c>
      <c r="G46" s="2" t="s">
        <v>500</v>
      </c>
      <c r="H46" s="8" t="s">
        <v>7</v>
      </c>
      <c r="I46" s="2" t="s">
        <v>404</v>
      </c>
      <c r="J46" s="23" t="s">
        <v>9</v>
      </c>
      <c r="K46" s="72" t="s">
        <v>369</v>
      </c>
      <c r="L46" s="23" t="s">
        <v>9</v>
      </c>
      <c r="M46" s="8" t="s">
        <v>266</v>
      </c>
      <c r="N46" s="27" t="s">
        <v>399</v>
      </c>
      <c r="O46" s="8" t="s">
        <v>40</v>
      </c>
      <c r="P46" s="8" t="s">
        <v>266</v>
      </c>
      <c r="Q46" s="9" t="s">
        <v>428</v>
      </c>
      <c r="R46" s="107"/>
    </row>
    <row r="47" spans="1:18" s="5" customFormat="1" ht="132" customHeight="1" x14ac:dyDescent="0.25">
      <c r="A47" s="6">
        <f t="shared" si="0"/>
        <v>43</v>
      </c>
      <c r="B47" s="2" t="s">
        <v>272</v>
      </c>
      <c r="C47" s="28"/>
      <c r="D47" s="28" t="s">
        <v>112</v>
      </c>
      <c r="E47" s="35" t="s">
        <v>99</v>
      </c>
      <c r="F47" s="111" t="s">
        <v>562</v>
      </c>
      <c r="G47" s="2" t="s">
        <v>500</v>
      </c>
      <c r="H47" s="8" t="s">
        <v>7</v>
      </c>
      <c r="I47" s="2" t="s">
        <v>404</v>
      </c>
      <c r="J47" s="23" t="s">
        <v>9</v>
      </c>
      <c r="K47" s="72" t="s">
        <v>369</v>
      </c>
      <c r="L47" s="23" t="s">
        <v>9</v>
      </c>
      <c r="M47" s="8" t="s">
        <v>266</v>
      </c>
      <c r="N47" s="27" t="s">
        <v>399</v>
      </c>
      <c r="O47" s="8" t="s">
        <v>40</v>
      </c>
      <c r="P47" s="8" t="s">
        <v>266</v>
      </c>
      <c r="Q47" s="9" t="s">
        <v>428</v>
      </c>
      <c r="R47" s="106"/>
    </row>
    <row r="48" spans="1:18" s="5" customFormat="1" ht="133.5" customHeight="1" x14ac:dyDescent="0.25">
      <c r="A48" s="6">
        <f t="shared" si="0"/>
        <v>44</v>
      </c>
      <c r="B48" s="2" t="s">
        <v>272</v>
      </c>
      <c r="C48" s="28"/>
      <c r="D48" s="28" t="s">
        <v>112</v>
      </c>
      <c r="E48" s="35" t="s">
        <v>99</v>
      </c>
      <c r="F48" s="111" t="s">
        <v>582</v>
      </c>
      <c r="G48" s="2" t="s">
        <v>459</v>
      </c>
      <c r="H48" s="8" t="s">
        <v>7</v>
      </c>
      <c r="I48" s="2" t="s">
        <v>583</v>
      </c>
      <c r="J48" s="23" t="s">
        <v>9</v>
      </c>
      <c r="K48" s="72" t="s">
        <v>468</v>
      </c>
      <c r="L48" s="23" t="s">
        <v>9</v>
      </c>
      <c r="M48" s="8" t="s">
        <v>266</v>
      </c>
      <c r="N48" s="27" t="s">
        <v>399</v>
      </c>
      <c r="O48" s="8" t="s">
        <v>40</v>
      </c>
      <c r="P48" s="8" t="s">
        <v>266</v>
      </c>
      <c r="Q48" s="9" t="s">
        <v>428</v>
      </c>
      <c r="R48" s="106"/>
    </row>
    <row r="49" spans="1:18" s="5" customFormat="1" ht="75" customHeight="1" x14ac:dyDescent="0.25">
      <c r="A49" s="6">
        <f t="shared" si="0"/>
        <v>45</v>
      </c>
      <c r="B49" s="2" t="s">
        <v>272</v>
      </c>
      <c r="C49" s="28"/>
      <c r="D49" s="28" t="s">
        <v>112</v>
      </c>
      <c r="E49" s="35" t="s">
        <v>99</v>
      </c>
      <c r="F49" s="111" t="s">
        <v>442</v>
      </c>
      <c r="G49" s="2" t="s">
        <v>500</v>
      </c>
      <c r="H49" s="8" t="s">
        <v>45</v>
      </c>
      <c r="I49" s="2" t="s">
        <v>115</v>
      </c>
      <c r="J49" s="27"/>
      <c r="K49" s="8"/>
      <c r="L49" s="27"/>
      <c r="M49" s="8"/>
      <c r="N49" s="27"/>
      <c r="O49" s="8"/>
      <c r="P49" s="8"/>
      <c r="Q49" s="7"/>
      <c r="R49" s="107"/>
    </row>
    <row r="50" spans="1:18" s="5" customFormat="1" ht="86.25" customHeight="1" x14ac:dyDescent="0.25">
      <c r="A50" s="6">
        <f t="shared" si="0"/>
        <v>46</v>
      </c>
      <c r="B50" s="2" t="s">
        <v>272</v>
      </c>
      <c r="C50" s="28"/>
      <c r="D50" s="28" t="s">
        <v>112</v>
      </c>
      <c r="E50" s="35" t="s">
        <v>99</v>
      </c>
      <c r="F50" s="111" t="s">
        <v>563</v>
      </c>
      <c r="G50" s="2" t="s">
        <v>459</v>
      </c>
      <c r="H50" s="8" t="s">
        <v>7</v>
      </c>
      <c r="I50" s="2" t="s">
        <v>115</v>
      </c>
      <c r="J50" s="3" t="s">
        <v>469</v>
      </c>
      <c r="K50" s="23" t="s">
        <v>9</v>
      </c>
      <c r="L50" s="23" t="s">
        <v>9</v>
      </c>
      <c r="M50" s="8" t="s">
        <v>266</v>
      </c>
      <c r="N50" s="27" t="s">
        <v>399</v>
      </c>
      <c r="O50" s="8" t="s">
        <v>40</v>
      </c>
      <c r="P50" s="8" t="s">
        <v>266</v>
      </c>
      <c r="Q50" s="9" t="s">
        <v>9</v>
      </c>
      <c r="R50" s="106"/>
    </row>
    <row r="51" spans="1:18" s="5" customFormat="1" ht="68.25" customHeight="1" x14ac:dyDescent="0.25">
      <c r="A51" s="6">
        <f t="shared" si="0"/>
        <v>47</v>
      </c>
      <c r="B51" s="2" t="s">
        <v>271</v>
      </c>
      <c r="C51" s="28"/>
      <c r="D51" s="35" t="s">
        <v>111</v>
      </c>
      <c r="E51" s="35" t="s">
        <v>117</v>
      </c>
      <c r="F51" s="111" t="s">
        <v>441</v>
      </c>
      <c r="G51" s="2" t="s">
        <v>459</v>
      </c>
      <c r="H51" s="8" t="s">
        <v>45</v>
      </c>
      <c r="I51" s="8" t="s">
        <v>101</v>
      </c>
      <c r="J51" s="27"/>
      <c r="K51" s="72" t="s">
        <v>584</v>
      </c>
      <c r="L51" s="27"/>
      <c r="M51" s="8"/>
      <c r="N51" s="8"/>
      <c r="O51" s="8"/>
      <c r="P51" s="8"/>
      <c r="Q51" s="7"/>
      <c r="R51" s="106"/>
    </row>
    <row r="52" spans="1:18" s="5" customFormat="1" ht="162" customHeight="1" x14ac:dyDescent="0.25">
      <c r="A52" s="6">
        <f t="shared" si="0"/>
        <v>48</v>
      </c>
      <c r="B52" s="2" t="s">
        <v>272</v>
      </c>
      <c r="C52" s="28"/>
      <c r="D52" s="35" t="s">
        <v>111</v>
      </c>
      <c r="E52" s="35" t="s">
        <v>117</v>
      </c>
      <c r="F52" s="113" t="s">
        <v>585</v>
      </c>
      <c r="G52" s="2" t="s">
        <v>500</v>
      </c>
      <c r="H52" s="8" t="s">
        <v>7</v>
      </c>
      <c r="I52" s="8" t="s">
        <v>432</v>
      </c>
      <c r="J52" s="8" t="s">
        <v>470</v>
      </c>
      <c r="K52" s="72" t="s">
        <v>471</v>
      </c>
      <c r="L52" s="23" t="s">
        <v>9</v>
      </c>
      <c r="M52" s="8" t="s">
        <v>472</v>
      </c>
      <c r="N52" s="27" t="s">
        <v>399</v>
      </c>
      <c r="O52" s="8" t="s">
        <v>40</v>
      </c>
      <c r="P52" s="8" t="s">
        <v>431</v>
      </c>
      <c r="Q52" s="9" t="s">
        <v>428</v>
      </c>
      <c r="R52" s="107"/>
    </row>
    <row r="53" spans="1:18" s="5" customFormat="1" ht="138" customHeight="1" x14ac:dyDescent="0.25">
      <c r="A53" s="6">
        <f t="shared" si="0"/>
        <v>49</v>
      </c>
      <c r="B53" s="2" t="s">
        <v>272</v>
      </c>
      <c r="C53" s="28"/>
      <c r="D53" s="35" t="s">
        <v>111</v>
      </c>
      <c r="E53" s="35" t="s">
        <v>117</v>
      </c>
      <c r="F53" s="111" t="s">
        <v>566</v>
      </c>
      <c r="G53" s="2" t="s">
        <v>500</v>
      </c>
      <c r="H53" s="8" t="s">
        <v>7</v>
      </c>
      <c r="I53" s="8" t="s">
        <v>115</v>
      </c>
      <c r="J53" s="23" t="s">
        <v>9</v>
      </c>
      <c r="K53" s="72" t="s">
        <v>584</v>
      </c>
      <c r="L53" s="23" t="s">
        <v>9</v>
      </c>
      <c r="M53" s="8" t="s">
        <v>267</v>
      </c>
      <c r="N53" s="27" t="s">
        <v>399</v>
      </c>
      <c r="O53" s="8" t="s">
        <v>40</v>
      </c>
      <c r="P53" s="8" t="s">
        <v>431</v>
      </c>
      <c r="Q53" s="9" t="s">
        <v>428</v>
      </c>
      <c r="R53" s="106"/>
    </row>
    <row r="54" spans="1:18" s="5" customFormat="1" ht="94.5" customHeight="1" x14ac:dyDescent="0.25">
      <c r="A54" s="6">
        <f t="shared" si="0"/>
        <v>50</v>
      </c>
      <c r="B54" s="2" t="s">
        <v>272</v>
      </c>
      <c r="C54" s="28"/>
      <c r="D54" s="35" t="s">
        <v>111</v>
      </c>
      <c r="E54" s="35" t="s">
        <v>117</v>
      </c>
      <c r="F54" s="111" t="s">
        <v>434</v>
      </c>
      <c r="G54" s="2" t="s">
        <v>459</v>
      </c>
      <c r="H54" s="8" t="s">
        <v>7</v>
      </c>
      <c r="I54" s="8" t="s">
        <v>115</v>
      </c>
      <c r="J54" s="23" t="s">
        <v>9</v>
      </c>
      <c r="K54" s="72" t="s">
        <v>584</v>
      </c>
      <c r="L54" s="2" t="s">
        <v>473</v>
      </c>
      <c r="M54" s="8" t="s">
        <v>267</v>
      </c>
      <c r="N54" s="27" t="s">
        <v>399</v>
      </c>
      <c r="O54" s="8" t="s">
        <v>40</v>
      </c>
      <c r="P54" s="8" t="s">
        <v>266</v>
      </c>
      <c r="Q54" s="9" t="s">
        <v>9</v>
      </c>
      <c r="R54" s="106"/>
    </row>
    <row r="55" spans="1:18" s="5" customFormat="1" ht="73.5" customHeight="1" x14ac:dyDescent="0.25">
      <c r="A55" s="6">
        <f t="shared" si="0"/>
        <v>51</v>
      </c>
      <c r="B55" s="2" t="s">
        <v>272</v>
      </c>
      <c r="C55" s="28"/>
      <c r="D55" s="35" t="s">
        <v>111</v>
      </c>
      <c r="E55" s="35" t="s">
        <v>117</v>
      </c>
      <c r="F55" s="111" t="s">
        <v>433</v>
      </c>
      <c r="G55" s="2" t="s">
        <v>459</v>
      </c>
      <c r="H55" s="8" t="s">
        <v>45</v>
      </c>
      <c r="I55" s="2" t="s">
        <v>393</v>
      </c>
      <c r="J55" s="27"/>
      <c r="K55" s="8"/>
      <c r="L55" s="27"/>
      <c r="M55" s="8"/>
      <c r="N55" s="27" t="s">
        <v>399</v>
      </c>
      <c r="O55" s="8"/>
      <c r="P55" s="8"/>
      <c r="Q55" s="7"/>
      <c r="R55" s="106"/>
    </row>
    <row r="56" spans="1:18" s="5" customFormat="1" ht="97.5" customHeight="1" x14ac:dyDescent="0.25">
      <c r="A56" s="6">
        <f t="shared" si="0"/>
        <v>52</v>
      </c>
      <c r="B56" s="2" t="s">
        <v>271</v>
      </c>
      <c r="C56" s="28"/>
      <c r="D56" s="35" t="s">
        <v>111</v>
      </c>
      <c r="E56" s="35" t="s">
        <v>117</v>
      </c>
      <c r="F56" s="111" t="s">
        <v>586</v>
      </c>
      <c r="G56" s="2" t="s">
        <v>501</v>
      </c>
      <c r="H56" s="8" t="s">
        <v>7</v>
      </c>
      <c r="I56" s="8" t="s">
        <v>435</v>
      </c>
      <c r="J56" s="23" t="s">
        <v>9</v>
      </c>
      <c r="K56" s="72" t="s">
        <v>584</v>
      </c>
      <c r="L56" s="23" t="s">
        <v>9</v>
      </c>
      <c r="M56" s="8" t="s">
        <v>267</v>
      </c>
      <c r="N56" s="27" t="s">
        <v>399</v>
      </c>
      <c r="O56" s="8" t="s">
        <v>40</v>
      </c>
      <c r="P56" s="8" t="s">
        <v>266</v>
      </c>
      <c r="Q56" s="9" t="s">
        <v>428</v>
      </c>
      <c r="R56" s="106"/>
    </row>
    <row r="57" spans="1:18" s="5" customFormat="1" ht="108.75" customHeight="1" x14ac:dyDescent="0.25">
      <c r="A57" s="6">
        <f t="shared" si="0"/>
        <v>53</v>
      </c>
      <c r="B57" s="2" t="s">
        <v>271</v>
      </c>
      <c r="C57" s="28"/>
      <c r="D57" s="35" t="s">
        <v>111</v>
      </c>
      <c r="E57" s="35" t="s">
        <v>117</v>
      </c>
      <c r="F57" s="111" t="s">
        <v>587</v>
      </c>
      <c r="G57" s="2" t="s">
        <v>459</v>
      </c>
      <c r="H57" s="8" t="s">
        <v>7</v>
      </c>
      <c r="I57" s="8" t="s">
        <v>435</v>
      </c>
      <c r="J57" s="23" t="s">
        <v>9</v>
      </c>
      <c r="K57" s="72" t="s">
        <v>584</v>
      </c>
      <c r="L57" s="23" t="s">
        <v>9</v>
      </c>
      <c r="M57" s="8" t="s">
        <v>267</v>
      </c>
      <c r="N57" s="27" t="s">
        <v>399</v>
      </c>
      <c r="O57" s="8" t="s">
        <v>40</v>
      </c>
      <c r="P57" s="8" t="s">
        <v>266</v>
      </c>
      <c r="Q57" s="9" t="s">
        <v>428</v>
      </c>
      <c r="R57" s="106"/>
    </row>
    <row r="58" spans="1:18" s="5" customFormat="1" ht="97.5" customHeight="1" x14ac:dyDescent="0.25">
      <c r="A58" s="6">
        <f t="shared" si="0"/>
        <v>54</v>
      </c>
      <c r="B58" s="2" t="s">
        <v>271</v>
      </c>
      <c r="C58" s="28"/>
      <c r="D58" s="35" t="s">
        <v>111</v>
      </c>
      <c r="E58" s="35" t="s">
        <v>117</v>
      </c>
      <c r="F58" s="111" t="s">
        <v>588</v>
      </c>
      <c r="G58" s="2" t="s">
        <v>459</v>
      </c>
      <c r="H58" s="8" t="s">
        <v>7</v>
      </c>
      <c r="I58" s="8" t="s">
        <v>565</v>
      </c>
      <c r="J58" s="23" t="s">
        <v>9</v>
      </c>
      <c r="K58" s="72" t="s">
        <v>468</v>
      </c>
      <c r="L58" s="23" t="s">
        <v>9</v>
      </c>
      <c r="M58" s="8" t="s">
        <v>267</v>
      </c>
      <c r="N58" s="27" t="s">
        <v>399</v>
      </c>
      <c r="O58" s="8" t="s">
        <v>40</v>
      </c>
      <c r="P58" s="8" t="s">
        <v>266</v>
      </c>
      <c r="Q58" s="9" t="s">
        <v>428</v>
      </c>
      <c r="R58" s="107"/>
    </row>
    <row r="59" spans="1:18" s="5" customFormat="1" ht="103.5" customHeight="1" x14ac:dyDescent="0.25">
      <c r="A59" s="6">
        <f t="shared" si="0"/>
        <v>55</v>
      </c>
      <c r="B59" s="2" t="s">
        <v>271</v>
      </c>
      <c r="C59" s="28"/>
      <c r="D59" s="35" t="s">
        <v>116</v>
      </c>
      <c r="E59" s="35" t="s">
        <v>117</v>
      </c>
      <c r="F59" s="113" t="s">
        <v>228</v>
      </c>
      <c r="G59" s="2" t="s">
        <v>459</v>
      </c>
      <c r="H59" s="35" t="s">
        <v>7</v>
      </c>
      <c r="I59" s="8" t="s">
        <v>242</v>
      </c>
      <c r="J59" s="27" t="s">
        <v>9</v>
      </c>
      <c r="K59" s="8" t="s">
        <v>118</v>
      </c>
      <c r="L59" s="27" t="s">
        <v>9</v>
      </c>
      <c r="M59" s="8" t="s">
        <v>6</v>
      </c>
      <c r="N59" s="8" t="s">
        <v>172</v>
      </c>
      <c r="O59" s="8" t="s">
        <v>9</v>
      </c>
      <c r="P59" s="8" t="s">
        <v>234</v>
      </c>
      <c r="Q59" s="9" t="s">
        <v>428</v>
      </c>
      <c r="R59" s="107"/>
    </row>
    <row r="60" spans="1:18" s="5" customFormat="1" ht="125.25" customHeight="1" x14ac:dyDescent="0.25">
      <c r="A60" s="6">
        <f t="shared" si="0"/>
        <v>56</v>
      </c>
      <c r="B60" s="2" t="s">
        <v>271</v>
      </c>
      <c r="C60" s="28"/>
      <c r="D60" s="35" t="s">
        <v>116</v>
      </c>
      <c r="E60" s="35" t="s">
        <v>117</v>
      </c>
      <c r="F60" s="113" t="s">
        <v>243</v>
      </c>
      <c r="G60" s="2" t="s">
        <v>459</v>
      </c>
      <c r="H60" s="35" t="s">
        <v>7</v>
      </c>
      <c r="I60" s="8" t="s">
        <v>244</v>
      </c>
      <c r="J60" s="8" t="s">
        <v>589</v>
      </c>
      <c r="K60" s="8" t="s">
        <v>245</v>
      </c>
      <c r="L60" s="27" t="s">
        <v>9</v>
      </c>
      <c r="M60" s="8" t="s">
        <v>6</v>
      </c>
      <c r="N60" s="8" t="s">
        <v>173</v>
      </c>
      <c r="O60" s="8" t="s">
        <v>9</v>
      </c>
      <c r="P60" s="8" t="s">
        <v>234</v>
      </c>
      <c r="Q60" s="9" t="s">
        <v>428</v>
      </c>
      <c r="R60" s="107"/>
    </row>
    <row r="61" spans="1:18" s="5" customFormat="1" ht="138" customHeight="1" x14ac:dyDescent="0.25">
      <c r="A61" s="6">
        <f t="shared" si="0"/>
        <v>57</v>
      </c>
      <c r="B61" s="2" t="s">
        <v>271</v>
      </c>
      <c r="C61" s="28"/>
      <c r="D61" s="35" t="s">
        <v>116</v>
      </c>
      <c r="E61" s="35" t="s">
        <v>117</v>
      </c>
      <c r="F61" s="113" t="s">
        <v>174</v>
      </c>
      <c r="G61" s="2" t="s">
        <v>459</v>
      </c>
      <c r="H61" s="35" t="s">
        <v>7</v>
      </c>
      <c r="I61" s="8" t="s">
        <v>113</v>
      </c>
      <c r="J61" s="8" t="s">
        <v>589</v>
      </c>
      <c r="K61" s="8" t="s">
        <v>119</v>
      </c>
      <c r="L61" s="27" t="s">
        <v>9</v>
      </c>
      <c r="M61" s="2" t="s">
        <v>266</v>
      </c>
      <c r="N61" s="8" t="s">
        <v>173</v>
      </c>
      <c r="O61" s="8" t="s">
        <v>9</v>
      </c>
      <c r="P61" s="8" t="s">
        <v>234</v>
      </c>
      <c r="Q61" s="9" t="s">
        <v>428</v>
      </c>
      <c r="R61" s="107"/>
    </row>
    <row r="62" spans="1:18" s="5" customFormat="1" ht="63.75" x14ac:dyDescent="0.25">
      <c r="A62" s="6">
        <f t="shared" si="0"/>
        <v>58</v>
      </c>
      <c r="B62" s="2" t="s">
        <v>271</v>
      </c>
      <c r="C62" s="28"/>
      <c r="D62" s="28" t="s">
        <v>13</v>
      </c>
      <c r="E62" s="35" t="s">
        <v>99</v>
      </c>
      <c r="F62" s="111" t="s">
        <v>436</v>
      </c>
      <c r="G62" s="2" t="s">
        <v>500</v>
      </c>
      <c r="H62" s="8" t="s">
        <v>7</v>
      </c>
      <c r="I62" s="8" t="s">
        <v>401</v>
      </c>
      <c r="J62" s="23" t="s">
        <v>9</v>
      </c>
      <c r="K62" s="72" t="s">
        <v>369</v>
      </c>
      <c r="L62" s="23" t="s">
        <v>9</v>
      </c>
      <c r="M62" s="2" t="s">
        <v>476</v>
      </c>
      <c r="N62" s="27" t="s">
        <v>399</v>
      </c>
      <c r="O62" s="8" t="s">
        <v>9</v>
      </c>
      <c r="P62" s="8" t="s">
        <v>394</v>
      </c>
      <c r="Q62" s="9" t="s">
        <v>428</v>
      </c>
      <c r="R62" s="107"/>
    </row>
    <row r="63" spans="1:18" s="5" customFormat="1" ht="78" customHeight="1" x14ac:dyDescent="0.25">
      <c r="A63" s="6">
        <f t="shared" si="0"/>
        <v>59</v>
      </c>
      <c r="B63" s="2" t="s">
        <v>271</v>
      </c>
      <c r="C63" s="28"/>
      <c r="D63" s="28" t="s">
        <v>5</v>
      </c>
      <c r="E63" s="35" t="s">
        <v>99</v>
      </c>
      <c r="F63" s="114" t="s">
        <v>437</v>
      </c>
      <c r="G63" s="2" t="s">
        <v>459</v>
      </c>
      <c r="H63" s="8" t="s">
        <v>7</v>
      </c>
      <c r="I63" s="8" t="s">
        <v>266</v>
      </c>
      <c r="J63" s="23" t="s">
        <v>9</v>
      </c>
      <c r="K63" s="72" t="s">
        <v>369</v>
      </c>
      <c r="L63" s="23" t="s">
        <v>9</v>
      </c>
      <c r="M63" s="2" t="s">
        <v>6</v>
      </c>
      <c r="N63" s="8" t="s">
        <v>375</v>
      </c>
      <c r="O63" s="8" t="s">
        <v>9</v>
      </c>
      <c r="P63" s="8"/>
      <c r="Q63" s="7"/>
      <c r="R63" s="106"/>
    </row>
    <row r="64" spans="1:18" s="5" customFormat="1" ht="93.75" customHeight="1" x14ac:dyDescent="0.25">
      <c r="A64" s="6">
        <f t="shared" si="0"/>
        <v>60</v>
      </c>
      <c r="B64" s="2" t="s">
        <v>271</v>
      </c>
      <c r="C64" s="28"/>
      <c r="D64" s="28" t="s">
        <v>5</v>
      </c>
      <c r="E64" s="35" t="s">
        <v>99</v>
      </c>
      <c r="F64" s="115" t="s">
        <v>590</v>
      </c>
      <c r="G64" s="2" t="s">
        <v>459</v>
      </c>
      <c r="H64" s="8" t="s">
        <v>7</v>
      </c>
      <c r="I64" s="8" t="s">
        <v>438</v>
      </c>
      <c r="J64" s="23" t="s">
        <v>9</v>
      </c>
      <c r="K64" s="71" t="s">
        <v>368</v>
      </c>
      <c r="L64" s="2" t="s">
        <v>445</v>
      </c>
      <c r="M64" s="8" t="s">
        <v>6</v>
      </c>
      <c r="N64" s="2" t="s">
        <v>123</v>
      </c>
      <c r="O64" s="2" t="s">
        <v>103</v>
      </c>
      <c r="P64" s="8" t="s">
        <v>474</v>
      </c>
      <c r="Q64" s="28" t="s">
        <v>9</v>
      </c>
      <c r="R64" s="106"/>
    </row>
    <row r="65" spans="1:18" s="5" customFormat="1" ht="79.5" customHeight="1" x14ac:dyDescent="0.25">
      <c r="A65" s="6">
        <f t="shared" si="0"/>
        <v>61</v>
      </c>
      <c r="B65" s="2" t="s">
        <v>271</v>
      </c>
      <c r="C65" s="28"/>
      <c r="D65" s="28" t="s">
        <v>13</v>
      </c>
      <c r="E65" s="35" t="s">
        <v>99</v>
      </c>
      <c r="F65" s="114" t="s">
        <v>440</v>
      </c>
      <c r="G65" s="2" t="s">
        <v>459</v>
      </c>
      <c r="H65" s="8" t="s">
        <v>7</v>
      </c>
      <c r="I65" s="8" t="s">
        <v>401</v>
      </c>
      <c r="J65" s="23" t="s">
        <v>9</v>
      </c>
      <c r="K65" s="72" t="s">
        <v>369</v>
      </c>
      <c r="L65" s="23" t="s">
        <v>9</v>
      </c>
      <c r="M65" s="2" t="s">
        <v>476</v>
      </c>
      <c r="N65" s="23" t="s">
        <v>9</v>
      </c>
      <c r="O65" s="2" t="s">
        <v>103</v>
      </c>
      <c r="P65" s="8" t="s">
        <v>474</v>
      </c>
      <c r="Q65" s="28" t="s">
        <v>9</v>
      </c>
      <c r="R65" s="106"/>
    </row>
    <row r="66" spans="1:18" s="5" customFormat="1" ht="87.75" customHeight="1" x14ac:dyDescent="0.25">
      <c r="A66" s="6">
        <f t="shared" si="0"/>
        <v>62</v>
      </c>
      <c r="B66" s="2" t="s">
        <v>46</v>
      </c>
      <c r="C66" s="28"/>
      <c r="D66" s="28" t="s">
        <v>5</v>
      </c>
      <c r="E66" s="35" t="s">
        <v>99</v>
      </c>
      <c r="F66" s="115" t="s">
        <v>591</v>
      </c>
      <c r="G66" s="2" t="s">
        <v>459</v>
      </c>
      <c r="H66" s="8" t="s">
        <v>7</v>
      </c>
      <c r="I66" s="8" t="s">
        <v>46</v>
      </c>
      <c r="J66" s="23" t="s">
        <v>9</v>
      </c>
      <c r="K66" s="71" t="s">
        <v>368</v>
      </c>
      <c r="L66" s="2" t="s">
        <v>445</v>
      </c>
      <c r="M66" s="8" t="s">
        <v>6</v>
      </c>
      <c r="N66" s="2" t="s">
        <v>123</v>
      </c>
      <c r="O66" s="2" t="s">
        <v>103</v>
      </c>
      <c r="P66" s="8" t="s">
        <v>475</v>
      </c>
      <c r="Q66" s="28" t="s">
        <v>9</v>
      </c>
      <c r="R66" s="106"/>
    </row>
    <row r="67" spans="1:18" s="5" customFormat="1" ht="66" customHeight="1" x14ac:dyDescent="0.25">
      <c r="A67" s="6">
        <f t="shared" si="0"/>
        <v>63</v>
      </c>
      <c r="B67" s="2" t="s">
        <v>271</v>
      </c>
      <c r="C67" s="10"/>
      <c r="D67" s="28" t="s">
        <v>5</v>
      </c>
      <c r="E67" s="35" t="s">
        <v>99</v>
      </c>
      <c r="F67" s="114" t="s">
        <v>567</v>
      </c>
      <c r="G67" s="7" t="s">
        <v>459</v>
      </c>
      <c r="H67" s="7" t="s">
        <v>7</v>
      </c>
      <c r="I67" s="7" t="s">
        <v>115</v>
      </c>
      <c r="J67" s="23" t="s">
        <v>9</v>
      </c>
      <c r="K67" s="72" t="s">
        <v>369</v>
      </c>
      <c r="L67" s="23" t="s">
        <v>9</v>
      </c>
      <c r="M67" s="8" t="s">
        <v>266</v>
      </c>
      <c r="N67" s="23" t="s">
        <v>9</v>
      </c>
      <c r="O67" s="2" t="s">
        <v>103</v>
      </c>
      <c r="P67" s="8" t="s">
        <v>266</v>
      </c>
      <c r="Q67" s="28" t="s">
        <v>564</v>
      </c>
      <c r="R67" s="107"/>
    </row>
    <row r="68" spans="1:18" s="5" customFormat="1" ht="69" customHeight="1" x14ac:dyDescent="0.25">
      <c r="A68" s="6">
        <f t="shared" si="0"/>
        <v>64</v>
      </c>
      <c r="B68" s="2" t="s">
        <v>271</v>
      </c>
      <c r="C68" s="10"/>
      <c r="D68" s="28" t="s">
        <v>5</v>
      </c>
      <c r="E68" s="35" t="s">
        <v>99</v>
      </c>
      <c r="F68" s="114" t="s">
        <v>592</v>
      </c>
      <c r="G68" s="7" t="s">
        <v>459</v>
      </c>
      <c r="H68" s="7" t="s">
        <v>7</v>
      </c>
      <c r="I68" s="7" t="s">
        <v>115</v>
      </c>
      <c r="J68" s="23" t="s">
        <v>9</v>
      </c>
      <c r="K68" s="71" t="s">
        <v>368</v>
      </c>
      <c r="L68" s="23" t="s">
        <v>9</v>
      </c>
      <c r="M68" s="8" t="s">
        <v>266</v>
      </c>
      <c r="N68" s="23" t="s">
        <v>9</v>
      </c>
      <c r="O68" s="2" t="s">
        <v>103</v>
      </c>
      <c r="P68" s="8" t="s">
        <v>266</v>
      </c>
      <c r="Q68" s="28" t="s">
        <v>9</v>
      </c>
      <c r="R68" s="107"/>
    </row>
    <row r="69" spans="1:18" s="5" customFormat="1" ht="76.5" x14ac:dyDescent="0.25">
      <c r="A69" s="6">
        <f t="shared" si="0"/>
        <v>65</v>
      </c>
      <c r="B69" s="2" t="s">
        <v>271</v>
      </c>
      <c r="C69" s="10"/>
      <c r="D69" s="28" t="s">
        <v>5</v>
      </c>
      <c r="E69" s="35" t="s">
        <v>99</v>
      </c>
      <c r="F69" s="114" t="s">
        <v>568</v>
      </c>
      <c r="G69" s="7" t="s">
        <v>500</v>
      </c>
      <c r="H69" s="7" t="s">
        <v>7</v>
      </c>
      <c r="I69" s="9" t="s">
        <v>593</v>
      </c>
      <c r="J69" s="23" t="s">
        <v>9</v>
      </c>
      <c r="K69" s="72" t="s">
        <v>369</v>
      </c>
      <c r="L69" s="23" t="s">
        <v>9</v>
      </c>
      <c r="M69" s="8" t="s">
        <v>266</v>
      </c>
      <c r="N69" s="23" t="s">
        <v>9</v>
      </c>
      <c r="O69" s="2" t="s">
        <v>103</v>
      </c>
      <c r="P69" s="8" t="s">
        <v>266</v>
      </c>
      <c r="Q69" s="28" t="s">
        <v>9</v>
      </c>
      <c r="R69" s="107"/>
    </row>
    <row r="70" spans="1:18" s="5" customFormat="1" ht="75.75" customHeight="1" x14ac:dyDescent="0.25">
      <c r="A70" s="6">
        <f t="shared" ref="A70:A71" si="1">ROW(A66)</f>
        <v>66</v>
      </c>
      <c r="B70" s="2" t="s">
        <v>271</v>
      </c>
      <c r="C70" s="28" t="s">
        <v>5</v>
      </c>
      <c r="D70" s="35" t="s">
        <v>99</v>
      </c>
      <c r="E70" s="110" t="s">
        <v>99</v>
      </c>
      <c r="F70" s="114" t="s">
        <v>570</v>
      </c>
      <c r="G70" s="107" t="s">
        <v>459</v>
      </c>
      <c r="H70" s="7" t="s">
        <v>7</v>
      </c>
      <c r="I70" s="9" t="s">
        <v>115</v>
      </c>
      <c r="J70" s="71" t="s">
        <v>367</v>
      </c>
      <c r="K70" s="23" t="s">
        <v>9</v>
      </c>
      <c r="L70" s="23" t="s">
        <v>9</v>
      </c>
      <c r="M70" s="8" t="s">
        <v>266</v>
      </c>
      <c r="N70" s="23" t="s">
        <v>9</v>
      </c>
      <c r="O70" s="2" t="s">
        <v>103</v>
      </c>
      <c r="P70" s="8" t="s">
        <v>266</v>
      </c>
      <c r="Q70" s="9" t="s">
        <v>215</v>
      </c>
      <c r="R70" s="107"/>
    </row>
    <row r="71" spans="1:18" s="5" customFormat="1" ht="92.25" customHeight="1" x14ac:dyDescent="0.25">
      <c r="A71" s="6">
        <f t="shared" si="1"/>
        <v>67</v>
      </c>
      <c r="B71" s="2" t="s">
        <v>271</v>
      </c>
      <c r="C71" s="28" t="s">
        <v>5</v>
      </c>
      <c r="D71" s="35" t="s">
        <v>99</v>
      </c>
      <c r="E71" s="110" t="s">
        <v>99</v>
      </c>
      <c r="F71" s="115" t="s">
        <v>569</v>
      </c>
      <c r="G71" s="107" t="s">
        <v>459</v>
      </c>
      <c r="H71" s="7" t="s">
        <v>7</v>
      </c>
      <c r="I71" s="9" t="s">
        <v>115</v>
      </c>
      <c r="J71" s="23" t="s">
        <v>9</v>
      </c>
      <c r="K71" s="72" t="s">
        <v>369</v>
      </c>
      <c r="L71" s="23" t="s">
        <v>9</v>
      </c>
      <c r="M71" s="8" t="s">
        <v>266</v>
      </c>
      <c r="N71" s="23" t="s">
        <v>9</v>
      </c>
      <c r="O71" s="2" t="s">
        <v>103</v>
      </c>
      <c r="P71" s="8" t="s">
        <v>266</v>
      </c>
      <c r="Q71" s="28" t="s">
        <v>564</v>
      </c>
      <c r="R71" s="107"/>
    </row>
    <row r="72" spans="1:18" s="5" customFormat="1" ht="10.5" customHeight="1" x14ac:dyDescent="0.25">
      <c r="A72" s="30"/>
      <c r="B72" s="31"/>
      <c r="C72" s="32"/>
      <c r="D72" s="33"/>
      <c r="E72" s="34"/>
      <c r="F72" s="31"/>
      <c r="G72" s="31"/>
      <c r="H72" s="31"/>
      <c r="I72" s="31"/>
      <c r="J72" s="30"/>
      <c r="K72" s="31"/>
      <c r="L72" s="30"/>
      <c r="M72" s="31"/>
      <c r="N72" s="31"/>
      <c r="O72" s="31"/>
      <c r="P72" s="31"/>
    </row>
    <row r="73" spans="1:18" s="5" customFormat="1" ht="10.5" customHeight="1" x14ac:dyDescent="0.25">
      <c r="A73" s="30"/>
      <c r="B73" s="31"/>
      <c r="C73" s="32"/>
      <c r="D73" s="33"/>
      <c r="E73" s="34"/>
      <c r="F73" s="31"/>
      <c r="G73" s="31"/>
      <c r="H73" s="31"/>
      <c r="I73" s="31"/>
      <c r="J73" s="30"/>
      <c r="K73" s="31"/>
      <c r="L73" s="30"/>
      <c r="M73" s="31"/>
      <c r="N73" s="31"/>
      <c r="O73" s="31"/>
      <c r="P73" s="31"/>
    </row>
    <row r="74" spans="1:18" s="5" customFormat="1" ht="10.5" customHeight="1" x14ac:dyDescent="0.25">
      <c r="A74" s="30"/>
      <c r="B74" s="31"/>
      <c r="C74" s="32"/>
      <c r="D74" s="33"/>
      <c r="E74" s="34"/>
      <c r="F74" s="31"/>
      <c r="G74" s="31"/>
      <c r="H74" s="31"/>
      <c r="I74" s="31"/>
      <c r="J74" s="30"/>
      <c r="K74" s="31"/>
      <c r="L74" s="30"/>
      <c r="M74" s="31"/>
      <c r="N74" s="31"/>
      <c r="O74" s="31"/>
      <c r="P74" s="31"/>
    </row>
    <row r="75" spans="1:18" s="5" customFormat="1" ht="10.5" customHeight="1" x14ac:dyDescent="0.25">
      <c r="A75" s="30"/>
      <c r="B75" s="31"/>
      <c r="C75" s="32"/>
      <c r="D75" s="33"/>
      <c r="E75" s="34"/>
      <c r="F75" s="31"/>
      <c r="G75" s="31"/>
      <c r="H75" s="31"/>
      <c r="I75" s="31"/>
      <c r="J75" s="30"/>
      <c r="K75" s="31"/>
      <c r="L75" s="30"/>
      <c r="M75" s="31"/>
      <c r="N75" s="31"/>
      <c r="O75" s="31"/>
      <c r="P75" s="31"/>
    </row>
    <row r="76" spans="1:18" s="5" customFormat="1" ht="10.5" customHeight="1" x14ac:dyDescent="0.25">
      <c r="A76" s="30"/>
      <c r="B76" s="31"/>
      <c r="C76" s="32"/>
      <c r="D76" s="33"/>
      <c r="E76" s="34"/>
      <c r="F76" s="31"/>
      <c r="G76" s="31"/>
      <c r="H76" s="31"/>
      <c r="I76" s="31"/>
      <c r="J76" s="30"/>
      <c r="K76" s="31"/>
      <c r="L76" s="30"/>
      <c r="M76" s="31"/>
      <c r="N76" s="31"/>
      <c r="O76" s="31"/>
      <c r="P76" s="31"/>
    </row>
    <row r="77" spans="1:18" s="5" customFormat="1" ht="10.5" customHeight="1" x14ac:dyDescent="0.25">
      <c r="A77" s="30"/>
      <c r="B77" s="31"/>
      <c r="C77" s="32"/>
      <c r="D77" s="33"/>
      <c r="E77" s="34"/>
      <c r="F77" s="31"/>
      <c r="G77" s="31"/>
      <c r="H77" s="31"/>
      <c r="I77" s="31"/>
      <c r="J77" s="30"/>
      <c r="K77" s="31"/>
      <c r="L77" s="30"/>
      <c r="M77" s="31"/>
      <c r="N77" s="31"/>
      <c r="O77" s="31"/>
      <c r="P77" s="31"/>
    </row>
    <row r="78" spans="1:18" s="5" customFormat="1" ht="10.5" customHeight="1" x14ac:dyDescent="0.25">
      <c r="A78" s="30"/>
      <c r="B78" s="31"/>
      <c r="C78" s="32"/>
      <c r="D78" s="33"/>
      <c r="E78" s="34"/>
      <c r="F78" s="31"/>
      <c r="G78" s="31"/>
      <c r="H78" s="31"/>
      <c r="I78" s="31"/>
      <c r="J78" s="30"/>
      <c r="K78" s="31"/>
      <c r="L78" s="30"/>
      <c r="M78" s="31"/>
      <c r="N78" s="31"/>
      <c r="O78" s="31"/>
      <c r="P78" s="31"/>
    </row>
    <row r="79" spans="1:18" ht="16.5" customHeight="1" x14ac:dyDescent="0.25">
      <c r="A79" s="100" t="s">
        <v>33</v>
      </c>
    </row>
    <row r="80" spans="1:18" ht="36.75" customHeight="1" x14ac:dyDescent="0.25">
      <c r="A80" s="99">
        <v>1</v>
      </c>
      <c r="B80" s="121" t="s">
        <v>594</v>
      </c>
      <c r="C80" s="121"/>
      <c r="D80" s="121"/>
      <c r="E80" s="121"/>
      <c r="F80" s="121"/>
      <c r="G80" s="121"/>
      <c r="H80" s="121"/>
      <c r="I80" s="121"/>
      <c r="J80" s="121"/>
    </row>
    <row r="81" spans="1:16" ht="26.25" customHeight="1" x14ac:dyDescent="0.25">
      <c r="A81" s="99">
        <v>2</v>
      </c>
      <c r="B81" s="122" t="s">
        <v>34</v>
      </c>
      <c r="C81" s="122"/>
      <c r="D81" s="122"/>
      <c r="E81" s="122"/>
      <c r="F81" s="122"/>
      <c r="G81" s="122"/>
      <c r="H81" s="122"/>
      <c r="I81" s="122"/>
      <c r="J81" s="122"/>
      <c r="K81" s="101"/>
      <c r="L81" s="101"/>
      <c r="M81" s="101"/>
      <c r="N81" s="101"/>
      <c r="O81" s="101"/>
      <c r="P81" s="101"/>
    </row>
    <row r="82" spans="1:16" ht="24" customHeight="1" x14ac:dyDescent="0.25">
      <c r="A82" s="99">
        <v>3</v>
      </c>
      <c r="B82" s="122" t="s">
        <v>37</v>
      </c>
      <c r="C82" s="122"/>
      <c r="D82" s="122"/>
      <c r="E82" s="122"/>
      <c r="F82" s="122"/>
      <c r="G82" s="122"/>
      <c r="H82" s="122"/>
      <c r="I82" s="122"/>
      <c r="J82" s="122"/>
      <c r="K82" s="101"/>
      <c r="L82" s="101"/>
      <c r="M82" s="101"/>
      <c r="N82" s="101"/>
      <c r="O82" s="101"/>
      <c r="P82" s="101"/>
    </row>
    <row r="83" spans="1:16" ht="21" customHeight="1" x14ac:dyDescent="0.25">
      <c r="A83" s="99">
        <v>4</v>
      </c>
      <c r="B83" s="122" t="s">
        <v>38</v>
      </c>
      <c r="C83" s="122"/>
      <c r="D83" s="122"/>
      <c r="E83" s="122"/>
      <c r="F83" s="122"/>
      <c r="G83" s="122"/>
      <c r="H83" s="122"/>
      <c r="I83" s="122"/>
      <c r="J83" s="122"/>
      <c r="K83" s="101"/>
      <c r="L83" s="101"/>
      <c r="M83" s="101"/>
      <c r="N83" s="101"/>
      <c r="O83" s="101"/>
      <c r="P83" s="101"/>
    </row>
  </sheetData>
  <autoFilter ref="A4:R4" xr:uid="{3515DC55-1031-4EAA-8624-7C89ADFC8D01}"/>
  <mergeCells count="4">
    <mergeCell ref="B80:J80"/>
    <mergeCell ref="B81:J81"/>
    <mergeCell ref="B82:J82"/>
    <mergeCell ref="B83:J83"/>
  </mergeCells>
  <hyperlinks>
    <hyperlink ref="J5" location="'1. NP Due Diligence'!A1" display="NP due diligence checks defined in NP Due Diligences Checklist" xr:uid="{2FDAB218-8FE9-4B9C-88A1-09C229325929}"/>
    <hyperlink ref="K6" location="'3. Data Analytics Routine'!A1" display="'3. Data Analytics Routine'!A1" xr:uid="{326C050E-1A70-49C1-811F-0925958D7003}"/>
    <hyperlink ref="J7" location="'1. NP Due Diligence'!A1" display="NP due diligence checks defined in NP Due Diligences Checklist" xr:uid="{81DACB16-C315-4E2C-B2EC-EC3E27670D0E}"/>
    <hyperlink ref="J10" location="'1. NP Due Diligence'!A1" display="NP due diligence checks defined in NP Due Diligences Checklist" xr:uid="{69B7C7E2-9C95-47B8-9F4F-3229A226E718}"/>
    <hyperlink ref="J11" location="'1. NP Due Diligence'!A1" display="NP due diligence checks defined in NP Due Diligences Checklist" xr:uid="{234AD1B3-4973-42C2-B7A1-12ECE516C08D}"/>
    <hyperlink ref="K12" location="'3. Data Analytics Routine'!A1" display="'3. Data Analytics Routine'!A1" xr:uid="{0ADE9E0B-748C-41DE-B75F-C05658564AD5}"/>
    <hyperlink ref="J13" location="'1. NP Due Diligence'!A1" display="NP due diligence checks defined in NP Due Diligences Checklist" xr:uid="{853EFABE-0D58-412C-8AC7-83A0DAF2F6BE}"/>
    <hyperlink ref="J14" location="'1. NP Due Diligence'!A1" display="NP due diligence checks defined in NP Due Diligences Checklist" xr:uid="{C039F28A-C711-40E2-A6E8-618C8DA5B130}"/>
    <hyperlink ref="K19" location="'3. Data Analytics Routine'!A1" display="'3. Data Analytics Routine'!A1" xr:uid="{CF54FE59-2CD4-4E13-93B3-292C3C2D2FCA}"/>
    <hyperlink ref="K24" location="'3. Data Analytics Routine'!A1" display="'3. Data Analytics Routine'!A1" xr:uid="{59CEF568-D7D9-49CF-B383-EC0518AD2549}"/>
    <hyperlink ref="K35" location="'3. Data Analytics Routine'!A1" display="'3. Data Analytics Routine'!A1" xr:uid="{A4B23D0A-7BB8-4626-AA66-7D76215CBB33}"/>
    <hyperlink ref="K37" location="'3. Data Analytics Routine'!A1" display="'3. Data Analytics Routine'!A1" xr:uid="{32CA39F6-B7D9-45CA-A5F5-FFCD99548217}"/>
    <hyperlink ref="K38" location="'3. Data Analytics Routine'!A1" display="'3. Data Analytics Routine'!A1" xr:uid="{D44BAC2D-564C-4CD4-B664-A4F9D5C73B77}"/>
    <hyperlink ref="K33" location="'3. Data Analytics Routine'!A1" display="'3. Data Analytics Routine'!A1" xr:uid="{2D69F76B-817A-47E4-B483-98A00DA149F3}"/>
    <hyperlink ref="K20" location="'3. Data Analytics Routine'!A1" display="'3. Data Analytics Routine'!A1" xr:uid="{7DD182CF-A9B6-423A-B7C4-7C2503EEAE3E}"/>
    <hyperlink ref="K14" location="'2. Periodic Audit Checklist'!A1" display="'2. Periodic Audit Checklist'!A1" xr:uid="{4C077AEA-3655-498D-8409-6B3391987705}"/>
    <hyperlink ref="K22" location="'3. Data Analytics Routine'!A1" display="'3. Data Analytics Routine'!A1" xr:uid="{B76511D8-7034-4E76-A892-0C78B64DC6B2}"/>
    <hyperlink ref="K23" location="'2. Periodic Audit Checklist'!A1" display="'2. Periodic Audit Checklist'!A1" xr:uid="{3060338E-AEDB-4216-9B19-CCBE7ECBEE4D}"/>
    <hyperlink ref="K45" location="'3. Data Analytics Routine'!A1" display="'3. Data Analytics Routine'!A1" xr:uid="{39B2A925-47C9-455C-B502-677429115D94}"/>
    <hyperlink ref="K46" location="'3. Data Analytics Routine'!A1" display="'3. Data Analytics Routine'!A1" xr:uid="{001A6F59-32E2-48A6-8C4B-A0E933A8351F}"/>
    <hyperlink ref="K47" location="'3. Data Analytics Routine'!A1" display="'3. Data Analytics Routine'!A1" xr:uid="{356ABFAE-4EBC-47A2-9AB3-5F54F0FC77D7}"/>
    <hyperlink ref="K48" location="'3. Data Analytics Routine'!A1" display="'3. Data Analytics Routine'!A1" xr:uid="{7A46C4E9-DEDF-40FD-B57D-BF56E10104C7}"/>
    <hyperlink ref="K52" location="'3. Data Analytics Routine'!A1" display="'3. Data Analytics Routine'!A1" xr:uid="{6392B180-E4A4-42EE-9E4F-EA38FE4BA35E}"/>
    <hyperlink ref="K53" location="'3. Data Analytics Routine'!A1" display="'3. Data Analytics Routine'!A1" xr:uid="{6363CADE-4D8A-4493-9589-78B2533DE30C}"/>
    <hyperlink ref="K54" location="'3. Data Analytics Routine'!A1" display="'3. Data Analytics Routine'!A1" xr:uid="{197F0230-E37B-41AF-8ADE-D654240482E1}"/>
    <hyperlink ref="K56" location="'3. Data Analytics Routine'!A1" display="'3. Data Analytics Routine'!A1" xr:uid="{AF5E4A5F-7320-4855-8BFA-E2D9D9F0B090}"/>
    <hyperlink ref="K57" location="'3. Data Analytics Routine'!A1" display="'3. Data Analytics Routine'!A1" xr:uid="{9EE1D53F-42B1-42A2-BE77-5D125AEEBA4E}"/>
    <hyperlink ref="K58" location="'3. Data Analytics Routine'!A1" display="'3. Data Analytics Routine'!A1" xr:uid="{549F874B-1BD4-4037-907D-5E7D4050568F}"/>
    <hyperlink ref="K66" location="'2. Periodic Audit Checklist'!A1" display="'2. Periodic Audit Checklist'!A1" xr:uid="{F61864AA-0A89-445C-BAA8-1FFBB9C110C4}"/>
    <hyperlink ref="K64" location="'2. Periodic Audit Checklist'!A1" display="'2. Periodic Audit Checklist'!A1" xr:uid="{E0D2BA41-1C0F-42D2-BF0A-63E06F8BBA81}"/>
    <hyperlink ref="K15" location="'3. Data Analytics Routine'!A1" display="'3. Data Analytics Routine'!A1" xr:uid="{CBB85EC6-C572-4D86-8583-B67C658694D5}"/>
    <hyperlink ref="K16" location="'3. Data Analytics Routine'!A1" display="'3. Data Analytics Routine'!A1" xr:uid="{1059A655-ECBA-42D1-B973-D88DBB2B475E}"/>
    <hyperlink ref="K17" location="'2. Periodic Audit Checklist'!A1" display="'2. Periodic Audit Checklist'!A1" xr:uid="{BD7E87EB-C9E7-4485-8C58-0AD44152F674}"/>
    <hyperlink ref="K18" location="'3. Data Analytics Routine'!A1" display="'3. Data Analytics Routine'!A1" xr:uid="{EAB21EB1-682C-4C49-A977-A3B93F375D7F}"/>
    <hyperlink ref="K25" location="'2. Periodic Audit Checklist'!A1" display="'2. Periodic Audit Checklist'!A1" xr:uid="{52E9EC93-C2C8-458F-8E09-5A660367E5D7}"/>
    <hyperlink ref="K27" location="'3. Data Analytics Routine'!A1" display="'3. Data Analytics Routine'!A1" xr:uid="{4EDA1320-6EA0-4570-9AA0-D847E8A3D0C1}"/>
    <hyperlink ref="K36" location="'3. Data Analytics Routine'!A1" display="'3. Data Analytics Routine'!A1" xr:uid="{3EAC4487-F191-4A06-87B9-8B18AAAE1DA2}"/>
    <hyperlink ref="K26" location="'2. Periodic Audit Checklist'!A1" display="'2. Periodic Audit Checklist'!A1" xr:uid="{535F11AF-BFC6-4E39-BFD7-E11EC4C6CA03}"/>
    <hyperlink ref="K32" location="'3. Data Analytics Routine'!A1" display="'3. Data Analytics Routine'!A1" xr:uid="{18E4642D-4774-4223-9BF4-F2DEDAFF8530}"/>
    <hyperlink ref="K51" location="'3. Data Analytics Routine'!A1" display="'3. Data Analytics Routine'!A1" xr:uid="{74DB0865-FEDD-4250-8A9E-39393C8DD7DD}"/>
    <hyperlink ref="K68" location="'2. Periodic Audit Checklist'!A1" display="'2. Periodic Audit Checklist'!A1" xr:uid="{AC62E749-BC66-4EB5-A176-202BBBA7EA93}"/>
    <hyperlink ref="J70" location="'1. NP Due Diligence'!A1" display="NP due diligence checks defined in NP Due Diligences Checklist" xr:uid="{6CA2CE93-CF5D-48EC-B4E4-A7A248A699C1}"/>
    <hyperlink ref="K5" location="'2. Periodic Audit Checklist'!A1" display="'2. Periodic Audit Checklist'!A1" xr:uid="{FBAC6EDE-C36A-4070-9680-7F56706EA7F4}"/>
    <hyperlink ref="K8" location="'3. Data Analytics Routine'!A1" display="'3. Data Analytics Routine'!A1" xr:uid="{7AA1EE50-0EA5-4BA0-99FC-698D6195D52D}"/>
    <hyperlink ref="K9" location="'3. Data Analytics Routine'!A1" display="'3. Data Analytics Routine'!A1" xr:uid="{06022393-82D0-4836-B95B-3D75A4358B3A}"/>
  </hyperlinks>
  <printOptions gridLines="1"/>
  <pageMargins left="0.3" right="0.2" top="0.59" bottom="0.2" header="0.2" footer="0.23"/>
  <pageSetup paperSize="9" scale="33"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32DE2-6CA9-46CE-A5CD-907C7AE08121}">
  <dimension ref="A1:N20"/>
  <sheetViews>
    <sheetView topLeftCell="A6" zoomScaleNormal="100" workbookViewId="0">
      <selection activeCell="C18" sqref="C18"/>
    </sheetView>
  </sheetViews>
  <sheetFormatPr defaultRowHeight="15" x14ac:dyDescent="0.25"/>
  <cols>
    <col min="2" max="2" width="92.140625" customWidth="1"/>
    <col min="3" max="3" width="67.140625" customWidth="1"/>
  </cols>
  <sheetData>
    <row r="1" spans="1:14" x14ac:dyDescent="0.25">
      <c r="B1" s="49" t="s">
        <v>220</v>
      </c>
      <c r="D1" t="s">
        <v>151</v>
      </c>
    </row>
    <row r="2" spans="1:14" ht="30" x14ac:dyDescent="0.25">
      <c r="A2">
        <v>1</v>
      </c>
      <c r="B2" s="36" t="s">
        <v>221</v>
      </c>
      <c r="C2" s="36" t="s">
        <v>150</v>
      </c>
      <c r="D2" s="36" t="s">
        <v>152</v>
      </c>
      <c r="E2" s="36"/>
      <c r="F2" s="36"/>
      <c r="G2" s="36"/>
      <c r="H2" s="36"/>
      <c r="I2" s="36"/>
      <c r="J2" s="36"/>
      <c r="K2" s="36"/>
      <c r="L2" s="36"/>
      <c r="M2" s="36"/>
      <c r="N2" s="36"/>
    </row>
    <row r="3" spans="1:14" ht="36.75" customHeight="1" x14ac:dyDescent="0.25">
      <c r="A3">
        <v>2</v>
      </c>
      <c r="B3" s="36" t="s">
        <v>222</v>
      </c>
      <c r="C3" s="36" t="s">
        <v>153</v>
      </c>
      <c r="D3" s="36" t="s">
        <v>152</v>
      </c>
      <c r="E3" s="36"/>
      <c r="F3" s="36"/>
      <c r="G3" s="36"/>
      <c r="H3" s="36"/>
      <c r="I3" s="36"/>
      <c r="J3" s="36"/>
      <c r="K3" s="36"/>
      <c r="L3" s="36"/>
      <c r="M3" s="36"/>
      <c r="N3" s="36"/>
    </row>
    <row r="4" spans="1:14" ht="48" customHeight="1" x14ac:dyDescent="0.25">
      <c r="A4">
        <v>3</v>
      </c>
      <c r="B4" s="36" t="s">
        <v>223</v>
      </c>
      <c r="C4" s="36" t="s">
        <v>154</v>
      </c>
      <c r="D4" s="36"/>
      <c r="E4" s="36"/>
      <c r="F4" s="36"/>
      <c r="G4" s="36"/>
      <c r="H4" s="36"/>
      <c r="I4" s="36"/>
      <c r="J4" s="36"/>
      <c r="K4" s="36"/>
      <c r="L4" s="36"/>
      <c r="M4" s="36"/>
      <c r="N4" s="36"/>
    </row>
    <row r="5" spans="1:14" ht="54.75" customHeight="1" x14ac:dyDescent="0.25">
      <c r="A5">
        <v>4</v>
      </c>
      <c r="B5" s="36" t="s">
        <v>224</v>
      </c>
      <c r="C5" s="36"/>
      <c r="D5" s="36"/>
      <c r="E5" s="36"/>
      <c r="F5" s="36"/>
      <c r="G5" s="36"/>
      <c r="H5" s="36"/>
      <c r="I5" s="36"/>
      <c r="J5" s="36"/>
      <c r="K5" s="36"/>
      <c r="L5" s="36"/>
      <c r="M5" s="36"/>
      <c r="N5" s="36"/>
    </row>
    <row r="6" spans="1:14" ht="21.75" customHeight="1" x14ac:dyDescent="0.25">
      <c r="A6">
        <v>5</v>
      </c>
      <c r="B6" s="36" t="s">
        <v>225</v>
      </c>
      <c r="C6" s="36"/>
      <c r="D6" s="36"/>
      <c r="E6" s="36"/>
      <c r="F6" s="36"/>
      <c r="G6" s="36"/>
      <c r="H6" s="36"/>
      <c r="I6" s="36"/>
      <c r="J6" s="36"/>
      <c r="K6" s="36"/>
      <c r="L6" s="36"/>
      <c r="M6" s="36"/>
      <c r="N6" s="36"/>
    </row>
    <row r="7" spans="1:14" ht="66" customHeight="1" x14ac:dyDescent="0.25">
      <c r="A7">
        <v>7</v>
      </c>
      <c r="C7" s="36" t="s">
        <v>155</v>
      </c>
      <c r="D7" s="36" t="s">
        <v>152</v>
      </c>
      <c r="E7" s="36"/>
      <c r="F7" s="36"/>
      <c r="G7" s="36"/>
      <c r="H7" s="36"/>
      <c r="I7" s="36"/>
      <c r="J7" s="36"/>
      <c r="K7" s="36"/>
      <c r="L7" s="36"/>
      <c r="M7" s="36"/>
      <c r="N7" s="36"/>
    </row>
    <row r="8" spans="1:14" x14ac:dyDescent="0.25">
      <c r="C8" s="45" t="s">
        <v>168</v>
      </c>
      <c r="D8" t="s">
        <v>169</v>
      </c>
    </row>
    <row r="9" spans="1:14" x14ac:dyDescent="0.25">
      <c r="C9" s="45" t="s">
        <v>156</v>
      </c>
    </row>
    <row r="10" spans="1:14" x14ac:dyDescent="0.25">
      <c r="C10" s="43" t="s">
        <v>157</v>
      </c>
    </row>
    <row r="11" spans="1:14" x14ac:dyDescent="0.25">
      <c r="C11" s="43" t="s">
        <v>158</v>
      </c>
    </row>
    <row r="12" spans="1:14" x14ac:dyDescent="0.25">
      <c r="C12" s="43" t="s">
        <v>159</v>
      </c>
    </row>
    <row r="13" spans="1:14" x14ac:dyDescent="0.25">
      <c r="C13" s="43" t="s">
        <v>161</v>
      </c>
    </row>
    <row r="14" spans="1:14" x14ac:dyDescent="0.25">
      <c r="C14" s="43" t="s">
        <v>162</v>
      </c>
    </row>
    <row r="15" spans="1:14" x14ac:dyDescent="0.25">
      <c r="C15" s="43" t="s">
        <v>163</v>
      </c>
    </row>
    <row r="16" spans="1:14" x14ac:dyDescent="0.25">
      <c r="C16" s="43" t="s">
        <v>164</v>
      </c>
    </row>
    <row r="17" spans="3:3" x14ac:dyDescent="0.25">
      <c r="C17" s="43" t="s">
        <v>165</v>
      </c>
    </row>
    <row r="18" spans="3:3" x14ac:dyDescent="0.25">
      <c r="C18" s="43" t="s">
        <v>166</v>
      </c>
    </row>
    <row r="19" spans="3:3" x14ac:dyDescent="0.25">
      <c r="C19" s="43" t="s">
        <v>167</v>
      </c>
    </row>
    <row r="20" spans="3:3" x14ac:dyDescent="0.25">
      <c r="C20" s="43" t="s">
        <v>160</v>
      </c>
    </row>
  </sheetData>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DB17A-C9F9-48AD-8F3A-F385D4B4C7EF}">
  <dimension ref="B1:N39"/>
  <sheetViews>
    <sheetView zoomScale="110" zoomScaleNormal="110" workbookViewId="0">
      <selection activeCell="C6" sqref="C6"/>
    </sheetView>
  </sheetViews>
  <sheetFormatPr defaultRowHeight="15" x14ac:dyDescent="0.25"/>
  <cols>
    <col min="1" max="1" width="4.5703125" customWidth="1"/>
    <col min="2" max="2" width="3.85546875" customWidth="1"/>
    <col min="3" max="3" width="48.85546875" customWidth="1"/>
    <col min="4" max="4" width="8.42578125" customWidth="1"/>
    <col min="5" max="5" width="13.5703125" customWidth="1"/>
    <col min="6" max="6" width="9.7109375" customWidth="1"/>
    <col min="7" max="7" width="12.42578125" customWidth="1"/>
    <col min="8" max="8" width="10.140625" customWidth="1"/>
    <col min="9" max="9" width="12.5703125" customWidth="1"/>
    <col min="10" max="10" width="9.85546875" customWidth="1"/>
    <col min="11" max="11" width="12" customWidth="1"/>
    <col min="12" max="12" width="7.140625" customWidth="1"/>
    <col min="13" max="13" width="12.5703125" customWidth="1"/>
    <col min="14" max="14" width="9.140625" customWidth="1"/>
  </cols>
  <sheetData>
    <row r="1" spans="2:14" x14ac:dyDescent="0.25">
      <c r="K1" s="123" t="s">
        <v>0</v>
      </c>
      <c r="L1" s="123"/>
      <c r="M1" s="123"/>
    </row>
    <row r="2" spans="2:14" x14ac:dyDescent="0.25">
      <c r="B2" s="57" t="s">
        <v>360</v>
      </c>
    </row>
    <row r="4" spans="2:14" ht="28.5" customHeight="1" x14ac:dyDescent="0.25">
      <c r="B4" s="129" t="s">
        <v>23</v>
      </c>
      <c r="C4" s="129" t="s">
        <v>287</v>
      </c>
      <c r="D4" s="129" t="s">
        <v>289</v>
      </c>
      <c r="E4" s="129"/>
      <c r="F4" s="129"/>
      <c r="G4" s="129"/>
      <c r="H4" s="129"/>
      <c r="I4" s="129"/>
      <c r="J4" s="129"/>
      <c r="K4" s="64" t="s">
        <v>290</v>
      </c>
      <c r="L4" s="127" t="s">
        <v>292</v>
      </c>
      <c r="M4" s="128"/>
      <c r="N4" s="12"/>
    </row>
    <row r="5" spans="2:14" ht="38.25" x14ac:dyDescent="0.25">
      <c r="B5" s="129"/>
      <c r="C5" s="129"/>
      <c r="D5" s="127" t="s">
        <v>321</v>
      </c>
      <c r="E5" s="128"/>
      <c r="F5" s="127" t="s">
        <v>288</v>
      </c>
      <c r="G5" s="128"/>
      <c r="H5" s="127" t="s">
        <v>46</v>
      </c>
      <c r="I5" s="128"/>
      <c r="J5" s="64" t="s">
        <v>106</v>
      </c>
      <c r="K5" s="64" t="s">
        <v>291</v>
      </c>
      <c r="L5" s="127" t="s">
        <v>113</v>
      </c>
      <c r="M5" s="128"/>
    </row>
    <row r="6" spans="2:14" x14ac:dyDescent="0.25">
      <c r="B6" s="65"/>
      <c r="C6" s="65"/>
      <c r="D6" s="65" t="s">
        <v>322</v>
      </c>
      <c r="E6" s="65" t="s">
        <v>323</v>
      </c>
      <c r="F6" s="65" t="s">
        <v>322</v>
      </c>
      <c r="G6" s="65" t="s">
        <v>323</v>
      </c>
      <c r="H6" s="65" t="s">
        <v>322</v>
      </c>
      <c r="I6" s="65" t="s">
        <v>323</v>
      </c>
      <c r="J6" s="65"/>
      <c r="K6" s="65"/>
      <c r="L6" s="65" t="s">
        <v>322</v>
      </c>
      <c r="M6" s="65" t="s">
        <v>323</v>
      </c>
    </row>
    <row r="7" spans="2:14" x14ac:dyDescent="0.25">
      <c r="B7" s="127" t="s">
        <v>297</v>
      </c>
      <c r="C7" s="130"/>
      <c r="D7" s="130"/>
      <c r="E7" s="130"/>
      <c r="F7" s="130"/>
      <c r="G7" s="130"/>
      <c r="H7" s="130"/>
      <c r="I7" s="130"/>
      <c r="J7" s="130"/>
      <c r="K7" s="130"/>
      <c r="L7" s="130"/>
      <c r="M7" s="128"/>
    </row>
    <row r="8" spans="2:14" ht="25.5" x14ac:dyDescent="0.25">
      <c r="B8" s="58">
        <f>ROW(B1)</f>
        <v>1</v>
      </c>
      <c r="C8" s="2" t="s">
        <v>293</v>
      </c>
      <c r="D8" s="61" t="s">
        <v>324</v>
      </c>
      <c r="E8" s="61" t="s">
        <v>324</v>
      </c>
      <c r="F8" s="61" t="s">
        <v>324</v>
      </c>
      <c r="G8" s="61" t="s">
        <v>324</v>
      </c>
      <c r="H8" s="61" t="s">
        <v>324</v>
      </c>
      <c r="I8" s="61" t="s">
        <v>324</v>
      </c>
      <c r="J8" s="61" t="s">
        <v>324</v>
      </c>
      <c r="K8" s="61" t="s">
        <v>324</v>
      </c>
      <c r="L8" s="61" t="s">
        <v>324</v>
      </c>
      <c r="M8" s="61" t="s">
        <v>324</v>
      </c>
    </row>
    <row r="9" spans="2:14" ht="51" x14ac:dyDescent="0.25">
      <c r="B9" s="58">
        <f>ROW(B2)</f>
        <v>2</v>
      </c>
      <c r="C9" s="59" t="s">
        <v>298</v>
      </c>
      <c r="D9" s="61" t="s">
        <v>324</v>
      </c>
      <c r="E9" s="62" t="s">
        <v>9</v>
      </c>
      <c r="F9" s="61" t="s">
        <v>324</v>
      </c>
      <c r="G9" s="62" t="s">
        <v>9</v>
      </c>
      <c r="H9" s="61" t="s">
        <v>324</v>
      </c>
      <c r="I9" s="62" t="s">
        <v>9</v>
      </c>
      <c r="J9" s="61" t="s">
        <v>324</v>
      </c>
      <c r="K9" s="61" t="s">
        <v>324</v>
      </c>
      <c r="L9" s="61" t="s">
        <v>324</v>
      </c>
      <c r="M9" s="62" t="s">
        <v>9</v>
      </c>
    </row>
    <row r="10" spans="2:14" ht="38.25" x14ac:dyDescent="0.25">
      <c r="B10" s="58">
        <f>ROW(B3)</f>
        <v>3</v>
      </c>
      <c r="C10" s="2" t="s">
        <v>295</v>
      </c>
      <c r="D10" s="61" t="s">
        <v>324</v>
      </c>
      <c r="E10" s="62" t="s">
        <v>9</v>
      </c>
      <c r="F10" s="62" t="s">
        <v>9</v>
      </c>
      <c r="G10" s="62" t="s">
        <v>9</v>
      </c>
      <c r="H10" s="61" t="s">
        <v>324</v>
      </c>
      <c r="I10" s="62" t="s">
        <v>9</v>
      </c>
      <c r="J10" s="61" t="s">
        <v>324</v>
      </c>
      <c r="K10" s="62" t="s">
        <v>9</v>
      </c>
      <c r="L10" s="61" t="s">
        <v>324</v>
      </c>
      <c r="M10" s="62" t="s">
        <v>9</v>
      </c>
    </row>
    <row r="11" spans="2:14" ht="38.25" x14ac:dyDescent="0.25">
      <c r="B11" s="58">
        <f>ROW(B4)</f>
        <v>4</v>
      </c>
      <c r="C11" s="2" t="s">
        <v>294</v>
      </c>
      <c r="D11" s="61" t="s">
        <v>324</v>
      </c>
      <c r="E11" s="62" t="s">
        <v>9</v>
      </c>
      <c r="F11" s="61" t="s">
        <v>324</v>
      </c>
      <c r="G11" s="62" t="s">
        <v>9</v>
      </c>
      <c r="H11" s="61" t="s">
        <v>324</v>
      </c>
      <c r="I11" s="62" t="s">
        <v>9</v>
      </c>
      <c r="J11" s="61" t="s">
        <v>324</v>
      </c>
      <c r="K11" s="62" t="s">
        <v>9</v>
      </c>
      <c r="L11" s="61" t="s">
        <v>324</v>
      </c>
      <c r="M11" s="62" t="s">
        <v>9</v>
      </c>
    </row>
    <row r="12" spans="2:14" x14ac:dyDescent="0.25">
      <c r="B12" s="124" t="s">
        <v>310</v>
      </c>
      <c r="C12" s="125"/>
      <c r="D12" s="125"/>
      <c r="E12" s="125"/>
      <c r="F12" s="125"/>
      <c r="G12" s="125"/>
      <c r="H12" s="125"/>
      <c r="I12" s="125"/>
      <c r="J12" s="125"/>
      <c r="K12" s="125"/>
      <c r="L12" s="125"/>
      <c r="M12" s="126"/>
    </row>
    <row r="13" spans="2:14" ht="38.25" x14ac:dyDescent="0.25">
      <c r="B13" s="58">
        <f t="shared" ref="B13:B21" si="0">ROW(B7)</f>
        <v>7</v>
      </c>
      <c r="C13" s="2" t="s">
        <v>299</v>
      </c>
      <c r="D13" s="61" t="s">
        <v>324</v>
      </c>
      <c r="E13" s="62" t="s">
        <v>9</v>
      </c>
      <c r="F13" s="61" t="s">
        <v>324</v>
      </c>
      <c r="G13" s="61" t="s">
        <v>324</v>
      </c>
      <c r="H13" s="62" t="s">
        <v>9</v>
      </c>
      <c r="I13" s="62" t="s">
        <v>9</v>
      </c>
      <c r="J13" s="62" t="s">
        <v>9</v>
      </c>
      <c r="K13" s="62" t="s">
        <v>9</v>
      </c>
      <c r="L13" s="61" t="s">
        <v>324</v>
      </c>
      <c r="M13" s="61" t="s">
        <v>324</v>
      </c>
    </row>
    <row r="14" spans="2:14" ht="25.5" x14ac:dyDescent="0.25">
      <c r="B14" s="58">
        <f t="shared" si="0"/>
        <v>8</v>
      </c>
      <c r="C14" s="2" t="s">
        <v>301</v>
      </c>
      <c r="D14" s="61" t="s">
        <v>324</v>
      </c>
      <c r="E14" s="62" t="s">
        <v>9</v>
      </c>
      <c r="F14" s="61" t="s">
        <v>324</v>
      </c>
      <c r="G14" s="61" t="s">
        <v>324</v>
      </c>
      <c r="H14" s="62" t="s">
        <v>9</v>
      </c>
      <c r="I14" s="62" t="s">
        <v>9</v>
      </c>
      <c r="J14" s="62" t="s">
        <v>9</v>
      </c>
      <c r="K14" s="62" t="s">
        <v>9</v>
      </c>
      <c r="L14" s="61" t="s">
        <v>324</v>
      </c>
      <c r="M14" s="62" t="s">
        <v>9</v>
      </c>
    </row>
    <row r="15" spans="2:14" ht="25.5" x14ac:dyDescent="0.25">
      <c r="B15" s="58">
        <f t="shared" si="0"/>
        <v>9</v>
      </c>
      <c r="C15" s="2" t="s">
        <v>303</v>
      </c>
      <c r="D15" s="61" t="s">
        <v>324</v>
      </c>
      <c r="E15" s="62" t="s">
        <v>9</v>
      </c>
      <c r="F15" s="61" t="s">
        <v>324</v>
      </c>
      <c r="G15" s="62" t="s">
        <v>9</v>
      </c>
      <c r="H15" s="61" t="s">
        <v>324</v>
      </c>
      <c r="I15" s="62" t="s">
        <v>9</v>
      </c>
      <c r="J15" s="61" t="s">
        <v>324</v>
      </c>
      <c r="K15" s="61" t="s">
        <v>324</v>
      </c>
      <c r="L15" s="62" t="s">
        <v>9</v>
      </c>
      <c r="M15" s="62" t="s">
        <v>9</v>
      </c>
    </row>
    <row r="16" spans="2:14" x14ac:dyDescent="0.25">
      <c r="B16" s="58">
        <f t="shared" si="0"/>
        <v>10</v>
      </c>
      <c r="C16" s="2" t="s">
        <v>325</v>
      </c>
      <c r="D16" s="61" t="s">
        <v>324</v>
      </c>
      <c r="E16" s="62" t="s">
        <v>9</v>
      </c>
      <c r="F16" s="61" t="s">
        <v>324</v>
      </c>
      <c r="G16" s="62" t="s">
        <v>9</v>
      </c>
      <c r="H16" s="61" t="s">
        <v>324</v>
      </c>
      <c r="I16" s="62" t="s">
        <v>9</v>
      </c>
      <c r="J16" s="61" t="s">
        <v>324</v>
      </c>
      <c r="K16" s="61" t="s">
        <v>324</v>
      </c>
      <c r="L16" s="61" t="s">
        <v>324</v>
      </c>
      <c r="M16" s="62" t="s">
        <v>9</v>
      </c>
    </row>
    <row r="17" spans="2:13" ht="18.75" customHeight="1" x14ac:dyDescent="0.25">
      <c r="B17" s="58">
        <f t="shared" si="0"/>
        <v>11</v>
      </c>
      <c r="C17" s="2" t="s">
        <v>305</v>
      </c>
      <c r="D17" s="61" t="s">
        <v>324</v>
      </c>
      <c r="E17" s="62" t="s">
        <v>9</v>
      </c>
      <c r="F17" s="61" t="s">
        <v>324</v>
      </c>
      <c r="G17" s="62" t="s">
        <v>9</v>
      </c>
      <c r="H17" s="61" t="s">
        <v>324</v>
      </c>
      <c r="I17" s="62" t="s">
        <v>9</v>
      </c>
      <c r="J17" s="61" t="s">
        <v>324</v>
      </c>
      <c r="K17" s="61" t="s">
        <v>324</v>
      </c>
      <c r="L17" s="61" t="s">
        <v>324</v>
      </c>
      <c r="M17" s="62" t="s">
        <v>9</v>
      </c>
    </row>
    <row r="18" spans="2:13" ht="55.5" customHeight="1" x14ac:dyDescent="0.25">
      <c r="B18" s="58">
        <f t="shared" si="0"/>
        <v>12</v>
      </c>
      <c r="C18" s="9" t="s">
        <v>306</v>
      </c>
      <c r="D18" s="61" t="s">
        <v>324</v>
      </c>
      <c r="E18" s="62" t="s">
        <v>9</v>
      </c>
      <c r="F18" s="61" t="s">
        <v>324</v>
      </c>
      <c r="G18" s="62" t="s">
        <v>9</v>
      </c>
      <c r="H18" s="61" t="s">
        <v>324</v>
      </c>
      <c r="I18" s="62" t="s">
        <v>9</v>
      </c>
      <c r="J18" s="61" t="s">
        <v>324</v>
      </c>
      <c r="K18" s="61" t="s">
        <v>324</v>
      </c>
      <c r="L18" s="62" t="s">
        <v>9</v>
      </c>
      <c r="M18" s="62" t="s">
        <v>9</v>
      </c>
    </row>
    <row r="19" spans="2:13" ht="27.75" customHeight="1" x14ac:dyDescent="0.25">
      <c r="B19" s="58">
        <f t="shared" si="0"/>
        <v>13</v>
      </c>
      <c r="C19" s="9" t="s">
        <v>307</v>
      </c>
      <c r="D19" s="61" t="s">
        <v>324</v>
      </c>
      <c r="E19" s="62" t="s">
        <v>9</v>
      </c>
      <c r="F19" s="61" t="s">
        <v>324</v>
      </c>
      <c r="G19" s="62" t="s">
        <v>9</v>
      </c>
      <c r="H19" s="61" t="s">
        <v>324</v>
      </c>
      <c r="I19" s="62" t="s">
        <v>9</v>
      </c>
      <c r="J19" s="61" t="s">
        <v>324</v>
      </c>
      <c r="K19" s="62" t="s">
        <v>9</v>
      </c>
      <c r="L19" s="61" t="s">
        <v>324</v>
      </c>
      <c r="M19" s="62" t="s">
        <v>9</v>
      </c>
    </row>
    <row r="20" spans="2:13" ht="35.25" customHeight="1" x14ac:dyDescent="0.25">
      <c r="B20" s="58">
        <f t="shared" si="0"/>
        <v>14</v>
      </c>
      <c r="C20" s="9" t="s">
        <v>327</v>
      </c>
      <c r="D20" s="61" t="s">
        <v>324</v>
      </c>
      <c r="E20" s="61" t="s">
        <v>324</v>
      </c>
      <c r="F20" s="61" t="s">
        <v>324</v>
      </c>
      <c r="G20" s="61" t="s">
        <v>324</v>
      </c>
      <c r="H20" s="61" t="s">
        <v>324</v>
      </c>
      <c r="I20" s="61" t="s">
        <v>324</v>
      </c>
      <c r="J20" s="61" t="s">
        <v>324</v>
      </c>
      <c r="K20" s="61" t="s">
        <v>324</v>
      </c>
      <c r="L20" s="61" t="s">
        <v>324</v>
      </c>
      <c r="M20" s="61" t="s">
        <v>324</v>
      </c>
    </row>
    <row r="21" spans="2:13" ht="63.75" x14ac:dyDescent="0.25">
      <c r="B21" s="58">
        <f t="shared" si="0"/>
        <v>15</v>
      </c>
      <c r="C21" s="9" t="s">
        <v>308</v>
      </c>
      <c r="D21" s="61" t="s">
        <v>324</v>
      </c>
      <c r="E21" s="61" t="s">
        <v>324</v>
      </c>
      <c r="F21" s="61" t="s">
        <v>324</v>
      </c>
      <c r="G21" s="61" t="s">
        <v>324</v>
      </c>
      <c r="H21" s="61" t="s">
        <v>324</v>
      </c>
      <c r="I21" s="61" t="s">
        <v>324</v>
      </c>
      <c r="J21" s="61" t="s">
        <v>324</v>
      </c>
      <c r="K21" s="61" t="s">
        <v>324</v>
      </c>
      <c r="L21" s="61" t="s">
        <v>324</v>
      </c>
      <c r="M21" s="61" t="s">
        <v>324</v>
      </c>
    </row>
    <row r="22" spans="2:13" ht="45" customHeight="1" x14ac:dyDescent="0.25">
      <c r="B22" s="58">
        <v>15</v>
      </c>
      <c r="C22" s="9" t="s">
        <v>320</v>
      </c>
      <c r="D22" s="61" t="s">
        <v>324</v>
      </c>
      <c r="E22" s="61" t="s">
        <v>324</v>
      </c>
      <c r="F22" s="61" t="s">
        <v>324</v>
      </c>
      <c r="G22" s="61" t="s">
        <v>324</v>
      </c>
      <c r="H22" s="61" t="s">
        <v>324</v>
      </c>
      <c r="I22" s="62" t="s">
        <v>9</v>
      </c>
      <c r="J22" s="62" t="s">
        <v>9</v>
      </c>
      <c r="K22" s="62" t="s">
        <v>9</v>
      </c>
      <c r="L22" s="61" t="s">
        <v>324</v>
      </c>
      <c r="M22" s="62" t="s">
        <v>9</v>
      </c>
    </row>
    <row r="23" spans="2:13" x14ac:dyDescent="0.25">
      <c r="B23" s="124" t="s">
        <v>309</v>
      </c>
      <c r="C23" s="125"/>
      <c r="D23" s="125"/>
      <c r="E23" s="125"/>
      <c r="F23" s="125"/>
      <c r="G23" s="125"/>
      <c r="H23" s="125"/>
      <c r="I23" s="125"/>
      <c r="J23" s="125"/>
      <c r="K23" s="125"/>
      <c r="L23" s="125"/>
      <c r="M23" s="126"/>
    </row>
    <row r="24" spans="2:13" ht="38.25" x14ac:dyDescent="0.25">
      <c r="B24" s="58">
        <f>ROW(B17)</f>
        <v>17</v>
      </c>
      <c r="C24" s="2" t="s">
        <v>296</v>
      </c>
      <c r="D24" s="61" t="s">
        <v>324</v>
      </c>
      <c r="E24" s="62" t="s">
        <v>9</v>
      </c>
      <c r="F24" s="61" t="s">
        <v>324</v>
      </c>
      <c r="G24" s="62" t="s">
        <v>9</v>
      </c>
      <c r="H24" s="61" t="s">
        <v>324</v>
      </c>
      <c r="I24" s="62" t="s">
        <v>9</v>
      </c>
      <c r="J24" s="61" t="s">
        <v>324</v>
      </c>
      <c r="K24" s="62" t="s">
        <v>9</v>
      </c>
      <c r="L24" s="61" t="s">
        <v>324</v>
      </c>
      <c r="M24" s="62" t="s">
        <v>9</v>
      </c>
    </row>
    <row r="25" spans="2:13" x14ac:dyDescent="0.25">
      <c r="B25" s="58">
        <f>ROW(B18)</f>
        <v>18</v>
      </c>
      <c r="C25" s="2" t="s">
        <v>300</v>
      </c>
      <c r="D25" s="61" t="s">
        <v>324</v>
      </c>
      <c r="E25" s="62" t="s">
        <v>9</v>
      </c>
      <c r="F25" s="61" t="s">
        <v>324</v>
      </c>
      <c r="G25" s="62" t="s">
        <v>9</v>
      </c>
      <c r="H25" s="61" t="s">
        <v>324</v>
      </c>
      <c r="I25" s="62" t="s">
        <v>9</v>
      </c>
      <c r="J25" s="61" t="s">
        <v>324</v>
      </c>
      <c r="K25" s="61" t="s">
        <v>324</v>
      </c>
      <c r="L25" s="61" t="s">
        <v>324</v>
      </c>
      <c r="M25" s="62" t="s">
        <v>9</v>
      </c>
    </row>
    <row r="26" spans="2:13" ht="25.5" x14ac:dyDescent="0.25">
      <c r="B26" s="58">
        <f>ROW(B19)</f>
        <v>19</v>
      </c>
      <c r="C26" s="2" t="s">
        <v>302</v>
      </c>
      <c r="D26" s="61" t="s">
        <v>324</v>
      </c>
      <c r="E26" s="62" t="s">
        <v>9</v>
      </c>
      <c r="F26" s="61" t="s">
        <v>324</v>
      </c>
      <c r="G26" s="62" t="s">
        <v>9</v>
      </c>
      <c r="H26" s="61" t="s">
        <v>324</v>
      </c>
      <c r="I26" s="62" t="s">
        <v>9</v>
      </c>
      <c r="J26" s="61" t="s">
        <v>324</v>
      </c>
      <c r="K26" s="61" t="s">
        <v>324</v>
      </c>
      <c r="L26" s="61" t="s">
        <v>324</v>
      </c>
      <c r="M26" s="62" t="s">
        <v>9</v>
      </c>
    </row>
    <row r="27" spans="2:13" ht="76.5" x14ac:dyDescent="0.25">
      <c r="B27" s="58">
        <f>ROW(B20)</f>
        <v>20</v>
      </c>
      <c r="C27" s="2" t="s">
        <v>304</v>
      </c>
      <c r="D27" s="61" t="s">
        <v>324</v>
      </c>
      <c r="E27" s="62" t="s">
        <v>9</v>
      </c>
      <c r="F27" s="61" t="s">
        <v>324</v>
      </c>
      <c r="G27" s="62" t="s">
        <v>9</v>
      </c>
      <c r="H27" s="61" t="s">
        <v>324</v>
      </c>
      <c r="I27" s="62" t="s">
        <v>9</v>
      </c>
      <c r="J27" s="61" t="s">
        <v>324</v>
      </c>
      <c r="K27" s="61" t="s">
        <v>324</v>
      </c>
      <c r="L27" s="62" t="s">
        <v>9</v>
      </c>
      <c r="M27" s="62" t="s">
        <v>9</v>
      </c>
    </row>
    <row r="28" spans="2:13" x14ac:dyDescent="0.25">
      <c r="B28" s="124" t="s">
        <v>311</v>
      </c>
      <c r="C28" s="125"/>
      <c r="D28" s="125"/>
      <c r="E28" s="125"/>
      <c r="F28" s="125"/>
      <c r="G28" s="125"/>
      <c r="H28" s="125"/>
      <c r="I28" s="125"/>
      <c r="J28" s="125"/>
      <c r="K28" s="125"/>
      <c r="L28" s="125"/>
      <c r="M28" s="126"/>
    </row>
    <row r="29" spans="2:13" ht="25.5" x14ac:dyDescent="0.25">
      <c r="B29" s="58">
        <f t="shared" ref="B29:B36" si="1">ROW(B23)</f>
        <v>23</v>
      </c>
      <c r="C29" s="2" t="s">
        <v>312</v>
      </c>
      <c r="D29" s="62" t="s">
        <v>9</v>
      </c>
      <c r="E29" s="61" t="s">
        <v>324</v>
      </c>
      <c r="F29" s="62" t="s">
        <v>9</v>
      </c>
      <c r="G29" s="61" t="s">
        <v>324</v>
      </c>
      <c r="H29" s="62" t="s">
        <v>9</v>
      </c>
      <c r="I29" s="62" t="s">
        <v>9</v>
      </c>
      <c r="J29" s="62" t="s">
        <v>9</v>
      </c>
      <c r="K29" s="62" t="s">
        <v>9</v>
      </c>
      <c r="L29" s="62" t="s">
        <v>9</v>
      </c>
      <c r="M29" s="61" t="s">
        <v>324</v>
      </c>
    </row>
    <row r="30" spans="2:13" x14ac:dyDescent="0.25">
      <c r="B30" s="58">
        <f t="shared" si="1"/>
        <v>24</v>
      </c>
      <c r="C30" s="2" t="s">
        <v>313</v>
      </c>
      <c r="D30" s="62" t="s">
        <v>9</v>
      </c>
      <c r="E30" s="61" t="s">
        <v>324</v>
      </c>
      <c r="F30" s="62" t="s">
        <v>9</v>
      </c>
      <c r="G30" s="61" t="s">
        <v>324</v>
      </c>
      <c r="H30" s="62" t="s">
        <v>9</v>
      </c>
      <c r="I30" s="62" t="s">
        <v>9</v>
      </c>
      <c r="J30" s="62" t="s">
        <v>9</v>
      </c>
      <c r="K30" s="62" t="s">
        <v>9</v>
      </c>
      <c r="L30" s="62" t="s">
        <v>9</v>
      </c>
      <c r="M30" s="61" t="s">
        <v>324</v>
      </c>
    </row>
    <row r="31" spans="2:13" ht="25.5" x14ac:dyDescent="0.25">
      <c r="B31" s="58">
        <f t="shared" si="1"/>
        <v>25</v>
      </c>
      <c r="C31" s="2" t="s">
        <v>314</v>
      </c>
      <c r="D31" s="62" t="s">
        <v>9</v>
      </c>
      <c r="E31" s="61" t="s">
        <v>324</v>
      </c>
      <c r="F31" s="62" t="s">
        <v>9</v>
      </c>
      <c r="G31" s="61" t="s">
        <v>324</v>
      </c>
      <c r="H31" s="62" t="s">
        <v>9</v>
      </c>
      <c r="I31" s="62" t="s">
        <v>9</v>
      </c>
      <c r="J31" s="62" t="s">
        <v>9</v>
      </c>
      <c r="K31" s="62" t="s">
        <v>9</v>
      </c>
      <c r="L31" s="61" t="s">
        <v>324</v>
      </c>
      <c r="M31" s="61" t="s">
        <v>324</v>
      </c>
    </row>
    <row r="32" spans="2:13" ht="54.75" customHeight="1" x14ac:dyDescent="0.25">
      <c r="B32" s="58">
        <f t="shared" si="1"/>
        <v>26</v>
      </c>
      <c r="C32" s="2" t="s">
        <v>315</v>
      </c>
      <c r="D32" s="62" t="s">
        <v>9</v>
      </c>
      <c r="E32" s="61" t="s">
        <v>324</v>
      </c>
      <c r="F32" s="62" t="s">
        <v>9</v>
      </c>
      <c r="G32" s="61" t="s">
        <v>324</v>
      </c>
      <c r="H32" s="62" t="s">
        <v>9</v>
      </c>
      <c r="I32" s="62" t="s">
        <v>9</v>
      </c>
      <c r="J32" s="62" t="s">
        <v>9</v>
      </c>
      <c r="K32" s="62" t="s">
        <v>9</v>
      </c>
      <c r="L32" s="61" t="s">
        <v>324</v>
      </c>
      <c r="M32" s="61" t="s">
        <v>324</v>
      </c>
    </row>
    <row r="33" spans="2:13" x14ac:dyDescent="0.25">
      <c r="B33" s="58">
        <f t="shared" si="1"/>
        <v>27</v>
      </c>
      <c r="C33" s="2" t="s">
        <v>316</v>
      </c>
      <c r="D33" s="62" t="s">
        <v>9</v>
      </c>
      <c r="E33" s="61" t="s">
        <v>324</v>
      </c>
      <c r="F33" s="62" t="s">
        <v>9</v>
      </c>
      <c r="G33" s="61" t="s">
        <v>324</v>
      </c>
      <c r="H33" s="62" t="s">
        <v>9</v>
      </c>
      <c r="I33" s="62" t="s">
        <v>9</v>
      </c>
      <c r="J33" s="62" t="s">
        <v>9</v>
      </c>
      <c r="K33" s="62" t="s">
        <v>9</v>
      </c>
      <c r="L33" s="62" t="s">
        <v>9</v>
      </c>
      <c r="M33" s="61" t="s">
        <v>324</v>
      </c>
    </row>
    <row r="34" spans="2:13" ht="38.25" x14ac:dyDescent="0.25">
      <c r="B34" s="58">
        <f t="shared" si="1"/>
        <v>28</v>
      </c>
      <c r="C34" s="9" t="s">
        <v>318</v>
      </c>
      <c r="D34" s="62" t="s">
        <v>9</v>
      </c>
      <c r="E34" s="61" t="s">
        <v>324</v>
      </c>
      <c r="F34" s="62" t="s">
        <v>9</v>
      </c>
      <c r="G34" s="61" t="s">
        <v>324</v>
      </c>
      <c r="H34" s="62" t="s">
        <v>9</v>
      </c>
      <c r="I34" s="62" t="s">
        <v>9</v>
      </c>
      <c r="J34" s="62" t="s">
        <v>9</v>
      </c>
      <c r="K34" s="62" t="s">
        <v>9</v>
      </c>
      <c r="L34" s="61" t="s">
        <v>324</v>
      </c>
      <c r="M34" s="61" t="s">
        <v>324</v>
      </c>
    </row>
    <row r="35" spans="2:13" ht="25.5" x14ac:dyDescent="0.25">
      <c r="B35" s="58">
        <f t="shared" si="1"/>
        <v>29</v>
      </c>
      <c r="C35" s="9" t="s">
        <v>317</v>
      </c>
      <c r="D35" s="62" t="s">
        <v>9</v>
      </c>
      <c r="E35" s="61" t="s">
        <v>324</v>
      </c>
      <c r="F35" s="62" t="s">
        <v>9</v>
      </c>
      <c r="G35" s="61" t="s">
        <v>324</v>
      </c>
      <c r="H35" s="62" t="s">
        <v>9</v>
      </c>
      <c r="I35" s="62" t="s">
        <v>9</v>
      </c>
      <c r="J35" s="62" t="s">
        <v>9</v>
      </c>
      <c r="K35" s="62" t="s">
        <v>9</v>
      </c>
      <c r="L35" s="61" t="s">
        <v>324</v>
      </c>
      <c r="M35" s="61" t="s">
        <v>324</v>
      </c>
    </row>
    <row r="36" spans="2:13" ht="51" x14ac:dyDescent="0.25">
      <c r="B36" s="58">
        <f t="shared" si="1"/>
        <v>30</v>
      </c>
      <c r="C36" s="9" t="s">
        <v>319</v>
      </c>
      <c r="D36" s="62" t="s">
        <v>9</v>
      </c>
      <c r="E36" s="61" t="s">
        <v>324</v>
      </c>
      <c r="F36" s="62" t="s">
        <v>9</v>
      </c>
      <c r="G36" s="61" t="s">
        <v>324</v>
      </c>
      <c r="H36" s="62" t="s">
        <v>9</v>
      </c>
      <c r="I36" s="62" t="s">
        <v>9</v>
      </c>
      <c r="J36" s="62" t="s">
        <v>9</v>
      </c>
      <c r="K36" s="62" t="s">
        <v>9</v>
      </c>
      <c r="L36" s="61" t="s">
        <v>324</v>
      </c>
      <c r="M36" s="61" t="s">
        <v>324</v>
      </c>
    </row>
    <row r="38" spans="2:13" x14ac:dyDescent="0.25">
      <c r="B38" s="63" t="s">
        <v>33</v>
      </c>
    </row>
    <row r="39" spans="2:13" x14ac:dyDescent="0.25">
      <c r="B39" s="60" t="s">
        <v>326</v>
      </c>
    </row>
  </sheetData>
  <mergeCells count="13">
    <mergeCell ref="K1:M1"/>
    <mergeCell ref="B23:M23"/>
    <mergeCell ref="B28:M28"/>
    <mergeCell ref="D5:E5"/>
    <mergeCell ref="F5:G5"/>
    <mergeCell ref="H5:I5"/>
    <mergeCell ref="L4:M4"/>
    <mergeCell ref="L5:M5"/>
    <mergeCell ref="D4:J4"/>
    <mergeCell ref="C4:C5"/>
    <mergeCell ref="B4:B5"/>
    <mergeCell ref="B7:M7"/>
    <mergeCell ref="B12:M12"/>
  </mergeCells>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690F6-21C3-47BF-A317-C10544A50069}">
  <dimension ref="A1:M28"/>
  <sheetViews>
    <sheetView zoomScale="110" zoomScaleNormal="110" workbookViewId="0">
      <selection activeCell="B13" sqref="B13"/>
    </sheetView>
  </sheetViews>
  <sheetFormatPr defaultRowHeight="16.5" x14ac:dyDescent="0.3"/>
  <cols>
    <col min="1" max="1" width="4.5703125" customWidth="1"/>
    <col min="2" max="2" width="3.85546875" customWidth="1"/>
    <col min="3" max="3" width="27.85546875" customWidth="1"/>
    <col min="4" max="4" width="13.28515625" customWidth="1"/>
    <col min="5" max="5" width="15.85546875" customWidth="1"/>
    <col min="6" max="6" width="16" customWidth="1"/>
    <col min="7" max="7" width="13.85546875" customWidth="1"/>
    <col min="8" max="8" width="14.7109375" style="89" customWidth="1"/>
    <col min="9" max="9" width="11.5703125" style="89" customWidth="1"/>
    <col min="10" max="10" width="17.42578125" style="89" bestFit="1" customWidth="1"/>
    <col min="11" max="11" width="11.28515625" style="89" customWidth="1"/>
    <col min="12" max="12" width="26.5703125" style="89" bestFit="1" customWidth="1"/>
    <col min="13" max="13" width="17.42578125" style="89" bestFit="1" customWidth="1"/>
    <col min="14" max="16384" width="9.140625" style="89"/>
  </cols>
  <sheetData>
    <row r="1" spans="2:13" customFormat="1" ht="15" x14ac:dyDescent="0.25">
      <c r="K1" s="75"/>
      <c r="L1" s="75" t="s">
        <v>0</v>
      </c>
    </row>
    <row r="2" spans="2:13" customFormat="1" ht="15" x14ac:dyDescent="0.25">
      <c r="B2" s="57" t="s">
        <v>457</v>
      </c>
    </row>
    <row r="3" spans="2:13" customFormat="1" ht="15" x14ac:dyDescent="0.25">
      <c r="D3" s="92"/>
      <c r="E3" s="92"/>
      <c r="F3" s="92"/>
      <c r="G3" s="92"/>
      <c r="H3" s="92"/>
    </row>
    <row r="4" spans="2:13" customFormat="1" ht="28.5" customHeight="1" x14ac:dyDescent="0.25">
      <c r="B4" s="133" t="s">
        <v>23</v>
      </c>
      <c r="C4" s="133" t="s">
        <v>448</v>
      </c>
      <c r="D4" s="129" t="s">
        <v>446</v>
      </c>
      <c r="E4" s="129"/>
      <c r="F4" s="129"/>
      <c r="G4" s="129"/>
      <c r="H4" s="129" t="s">
        <v>462</v>
      </c>
      <c r="I4" s="129" t="s">
        <v>447</v>
      </c>
      <c r="J4" s="129" t="s">
        <v>453</v>
      </c>
      <c r="K4" s="129" t="s">
        <v>454</v>
      </c>
      <c r="L4" s="129" t="s">
        <v>455</v>
      </c>
      <c r="M4" s="129" t="s">
        <v>456</v>
      </c>
    </row>
    <row r="5" spans="2:13" customFormat="1" ht="27.75" x14ac:dyDescent="0.25">
      <c r="B5" s="134"/>
      <c r="C5" s="134"/>
      <c r="D5" s="64" t="s">
        <v>512</v>
      </c>
      <c r="E5" s="64" t="s">
        <v>513</v>
      </c>
      <c r="F5" s="64" t="s">
        <v>477</v>
      </c>
      <c r="G5" s="64" t="s">
        <v>452</v>
      </c>
      <c r="H5" s="129"/>
      <c r="I5" s="129"/>
      <c r="J5" s="129"/>
      <c r="K5" s="129"/>
      <c r="L5" s="129"/>
      <c r="M5" s="129"/>
    </row>
    <row r="6" spans="2:13" customFormat="1" ht="64.5" customHeight="1" x14ac:dyDescent="0.25">
      <c r="B6" s="84">
        <v>1</v>
      </c>
      <c r="C6" s="85" t="s">
        <v>461</v>
      </c>
      <c r="D6" s="61"/>
      <c r="E6" s="61"/>
      <c r="F6" s="61"/>
      <c r="G6" s="61"/>
      <c r="H6" s="61"/>
      <c r="I6" s="61"/>
      <c r="J6" s="61"/>
      <c r="K6" s="61"/>
      <c r="L6" s="54"/>
      <c r="M6" s="54"/>
    </row>
    <row r="7" spans="2:13" x14ac:dyDescent="0.3">
      <c r="B7" s="58">
        <v>1.1000000000000001</v>
      </c>
      <c r="C7" s="76" t="s">
        <v>511</v>
      </c>
      <c r="D7" s="61" t="s">
        <v>324</v>
      </c>
      <c r="E7" s="61" t="s">
        <v>324</v>
      </c>
      <c r="F7" s="61" t="s">
        <v>324</v>
      </c>
      <c r="G7" s="61" t="s">
        <v>324</v>
      </c>
      <c r="H7" s="68" t="s">
        <v>352</v>
      </c>
      <c r="I7" s="87" t="s">
        <v>463</v>
      </c>
      <c r="J7" s="87" t="s">
        <v>6</v>
      </c>
      <c r="K7" s="61" t="s">
        <v>324</v>
      </c>
      <c r="L7" s="87" t="s">
        <v>6</v>
      </c>
      <c r="M7" s="87" t="s">
        <v>6</v>
      </c>
    </row>
    <row r="8" spans="2:13" x14ac:dyDescent="0.3">
      <c r="B8" s="58">
        <v>1.2</v>
      </c>
      <c r="C8" s="2" t="s">
        <v>510</v>
      </c>
      <c r="D8" s="61" t="s">
        <v>324</v>
      </c>
      <c r="E8" s="61" t="s">
        <v>324</v>
      </c>
      <c r="F8" s="61" t="s">
        <v>324</v>
      </c>
      <c r="G8" s="68" t="s">
        <v>352</v>
      </c>
      <c r="H8" s="68" t="s">
        <v>352</v>
      </c>
      <c r="I8" s="87" t="s">
        <v>464</v>
      </c>
      <c r="J8" s="87" t="s">
        <v>6</v>
      </c>
      <c r="K8" s="61" t="s">
        <v>324</v>
      </c>
      <c r="L8" s="87" t="s">
        <v>6</v>
      </c>
      <c r="M8" s="87" t="s">
        <v>6</v>
      </c>
    </row>
    <row r="9" spans="2:13" x14ac:dyDescent="0.3">
      <c r="B9" s="58">
        <v>1.3</v>
      </c>
      <c r="C9" s="2" t="s">
        <v>509</v>
      </c>
      <c r="D9" s="61" t="s">
        <v>324</v>
      </c>
      <c r="E9" s="61" t="s">
        <v>324</v>
      </c>
      <c r="F9" s="68" t="s">
        <v>352</v>
      </c>
      <c r="G9" s="68" t="s">
        <v>352</v>
      </c>
      <c r="H9" s="61" t="s">
        <v>324</v>
      </c>
      <c r="I9" s="87" t="s">
        <v>464</v>
      </c>
      <c r="J9" s="87" t="s">
        <v>6</v>
      </c>
      <c r="K9" s="61" t="s">
        <v>324</v>
      </c>
      <c r="L9" s="87" t="s">
        <v>6</v>
      </c>
      <c r="M9" s="87" t="s">
        <v>6</v>
      </c>
    </row>
    <row r="10" spans="2:13" x14ac:dyDescent="0.3">
      <c r="B10" s="84">
        <v>2</v>
      </c>
      <c r="C10" s="85" t="s">
        <v>288</v>
      </c>
      <c r="D10" s="61"/>
      <c r="E10" s="61"/>
      <c r="F10" s="61"/>
      <c r="G10" s="61"/>
      <c r="H10" s="87"/>
      <c r="I10" s="87"/>
      <c r="J10" s="87"/>
      <c r="K10" s="87"/>
      <c r="L10" s="88"/>
      <c r="M10" s="88"/>
    </row>
    <row r="11" spans="2:13" x14ac:dyDescent="0.3">
      <c r="B11" s="58">
        <v>2.1</v>
      </c>
      <c r="C11" s="76" t="s">
        <v>449</v>
      </c>
      <c r="D11" s="61" t="s">
        <v>324</v>
      </c>
      <c r="E11" s="61" t="s">
        <v>324</v>
      </c>
      <c r="F11" s="68" t="s">
        <v>352</v>
      </c>
      <c r="G11" s="61" t="s">
        <v>324</v>
      </c>
      <c r="H11" s="68" t="s">
        <v>352</v>
      </c>
      <c r="I11" s="87" t="s">
        <v>463</v>
      </c>
      <c r="J11" s="87" t="s">
        <v>6</v>
      </c>
      <c r="K11" s="61" t="s">
        <v>324</v>
      </c>
      <c r="L11" s="87" t="s">
        <v>6</v>
      </c>
      <c r="M11" s="87" t="s">
        <v>6</v>
      </c>
    </row>
    <row r="12" spans="2:13" x14ac:dyDescent="0.3">
      <c r="B12" s="58">
        <v>2.2000000000000002</v>
      </c>
      <c r="C12" s="2" t="s">
        <v>459</v>
      </c>
      <c r="D12" s="61" t="s">
        <v>324</v>
      </c>
      <c r="E12" s="61" t="s">
        <v>324</v>
      </c>
      <c r="F12" s="68" t="s">
        <v>352</v>
      </c>
      <c r="G12" s="68" t="s">
        <v>352</v>
      </c>
      <c r="H12" s="68" t="s">
        <v>352</v>
      </c>
      <c r="I12" s="87" t="s">
        <v>464</v>
      </c>
      <c r="J12" s="87" t="s">
        <v>6</v>
      </c>
      <c r="K12" s="61" t="s">
        <v>324</v>
      </c>
      <c r="L12" s="87" t="s">
        <v>6</v>
      </c>
      <c r="M12" s="87" t="s">
        <v>6</v>
      </c>
    </row>
    <row r="13" spans="2:13" x14ac:dyDescent="0.3">
      <c r="B13" s="58">
        <v>2.2999999999999998</v>
      </c>
      <c r="C13" s="2" t="s">
        <v>460</v>
      </c>
      <c r="D13" s="68" t="s">
        <v>352</v>
      </c>
      <c r="E13" s="61" t="s">
        <v>324</v>
      </c>
      <c r="F13" s="68" t="s">
        <v>352</v>
      </c>
      <c r="G13" s="68" t="s">
        <v>352</v>
      </c>
      <c r="H13" s="61" t="s">
        <v>324</v>
      </c>
      <c r="I13" s="87" t="s">
        <v>464</v>
      </c>
      <c r="J13" s="87" t="s">
        <v>6</v>
      </c>
      <c r="K13" s="61" t="s">
        <v>324</v>
      </c>
      <c r="L13" s="87" t="s">
        <v>6</v>
      </c>
      <c r="M13" s="87" t="s">
        <v>6</v>
      </c>
    </row>
    <row r="14" spans="2:13" x14ac:dyDescent="0.3">
      <c r="B14" s="84">
        <v>3</v>
      </c>
      <c r="C14" s="85" t="s">
        <v>46</v>
      </c>
      <c r="D14" s="61"/>
      <c r="E14" s="61"/>
      <c r="F14" s="61"/>
      <c r="G14" s="61"/>
      <c r="H14" s="87"/>
      <c r="I14" s="87"/>
      <c r="J14" s="87"/>
      <c r="K14" s="87"/>
      <c r="L14" s="88"/>
      <c r="M14" s="88"/>
    </row>
    <row r="15" spans="2:13" x14ac:dyDescent="0.3">
      <c r="B15" s="58">
        <v>3.1</v>
      </c>
      <c r="C15" s="76" t="s">
        <v>449</v>
      </c>
      <c r="D15" s="61" t="s">
        <v>324</v>
      </c>
      <c r="E15" s="68" t="s">
        <v>352</v>
      </c>
      <c r="F15" s="61" t="s">
        <v>324</v>
      </c>
      <c r="G15" s="61" t="s">
        <v>324</v>
      </c>
      <c r="H15" s="68" t="s">
        <v>352</v>
      </c>
      <c r="I15" s="87" t="s">
        <v>463</v>
      </c>
      <c r="J15" s="87" t="s">
        <v>6</v>
      </c>
      <c r="K15" s="61" t="s">
        <v>324</v>
      </c>
      <c r="L15" s="87" t="s">
        <v>6</v>
      </c>
      <c r="M15" s="87" t="s">
        <v>6</v>
      </c>
    </row>
    <row r="16" spans="2:13" ht="18.75" customHeight="1" x14ac:dyDescent="0.3">
      <c r="B16" s="58">
        <v>3.2</v>
      </c>
      <c r="C16" s="2" t="s">
        <v>459</v>
      </c>
      <c r="D16" s="61" t="s">
        <v>324</v>
      </c>
      <c r="E16" s="68" t="s">
        <v>352</v>
      </c>
      <c r="F16" s="61" t="s">
        <v>324</v>
      </c>
      <c r="G16" s="68" t="s">
        <v>352</v>
      </c>
      <c r="H16" s="68" t="s">
        <v>352</v>
      </c>
      <c r="I16" s="87" t="s">
        <v>464</v>
      </c>
      <c r="J16" s="87" t="s">
        <v>6</v>
      </c>
      <c r="K16" s="61" t="s">
        <v>324</v>
      </c>
      <c r="L16" s="87" t="s">
        <v>6</v>
      </c>
      <c r="M16" s="87" t="s">
        <v>6</v>
      </c>
    </row>
    <row r="17" spans="1:13" ht="18.75" customHeight="1" x14ac:dyDescent="0.3">
      <c r="B17" s="58">
        <v>3.3</v>
      </c>
      <c r="C17" s="2" t="s">
        <v>460</v>
      </c>
      <c r="D17" s="61" t="s">
        <v>324</v>
      </c>
      <c r="E17" s="68" t="s">
        <v>352</v>
      </c>
      <c r="F17" s="68" t="s">
        <v>352</v>
      </c>
      <c r="G17" s="68" t="s">
        <v>352</v>
      </c>
      <c r="H17" s="61" t="s">
        <v>324</v>
      </c>
      <c r="I17" s="87" t="s">
        <v>464</v>
      </c>
      <c r="J17" s="87" t="s">
        <v>6</v>
      </c>
      <c r="K17" s="61" t="s">
        <v>324</v>
      </c>
      <c r="L17" s="87" t="s">
        <v>6</v>
      </c>
      <c r="M17" s="87" t="s">
        <v>6</v>
      </c>
    </row>
    <row r="18" spans="1:13" ht="18.75" customHeight="1" x14ac:dyDescent="0.3">
      <c r="B18" s="84">
        <v>4</v>
      </c>
      <c r="C18" s="86" t="s">
        <v>106</v>
      </c>
      <c r="D18" s="61" t="s">
        <v>324</v>
      </c>
      <c r="E18" s="68" t="s">
        <v>352</v>
      </c>
      <c r="F18" s="68" t="s">
        <v>352</v>
      </c>
      <c r="G18" s="61" t="s">
        <v>324</v>
      </c>
      <c r="H18" s="68" t="s">
        <v>352</v>
      </c>
      <c r="I18" s="87" t="s">
        <v>463</v>
      </c>
      <c r="J18" s="87" t="s">
        <v>6</v>
      </c>
      <c r="K18" s="61" t="s">
        <v>324</v>
      </c>
      <c r="L18" s="87" t="s">
        <v>6</v>
      </c>
      <c r="M18" s="87" t="s">
        <v>6</v>
      </c>
    </row>
    <row r="19" spans="1:13" ht="27.75" customHeight="1" x14ac:dyDescent="0.3">
      <c r="B19" s="84">
        <v>5</v>
      </c>
      <c r="C19" s="86" t="s">
        <v>450</v>
      </c>
      <c r="D19" s="61" t="s">
        <v>324</v>
      </c>
      <c r="E19" s="68" t="s">
        <v>352</v>
      </c>
      <c r="F19" s="68" t="s">
        <v>352</v>
      </c>
      <c r="G19" s="68" t="s">
        <v>352</v>
      </c>
      <c r="H19" s="68" t="s">
        <v>352</v>
      </c>
      <c r="I19" s="87" t="s">
        <v>464</v>
      </c>
      <c r="J19" s="87" t="s">
        <v>6</v>
      </c>
      <c r="K19" s="61" t="s">
        <v>324</v>
      </c>
      <c r="L19" s="87" t="s">
        <v>6</v>
      </c>
      <c r="M19" s="87" t="s">
        <v>6</v>
      </c>
    </row>
    <row r="20" spans="1:13" ht="28.5" customHeight="1" x14ac:dyDescent="0.3">
      <c r="B20" s="84">
        <v>6</v>
      </c>
      <c r="C20" s="86" t="s">
        <v>451</v>
      </c>
      <c r="D20" s="61"/>
      <c r="E20" s="61"/>
      <c r="F20" s="61"/>
      <c r="G20" s="61"/>
      <c r="H20" s="87"/>
      <c r="I20" s="87"/>
      <c r="J20" s="87"/>
      <c r="K20" s="87"/>
      <c r="L20" s="88"/>
      <c r="M20" s="88"/>
    </row>
    <row r="21" spans="1:13" x14ac:dyDescent="0.3">
      <c r="B21" s="58">
        <v>6.1</v>
      </c>
      <c r="C21" s="76" t="s">
        <v>449</v>
      </c>
      <c r="D21" s="61" t="s">
        <v>324</v>
      </c>
      <c r="E21" s="61" t="s">
        <v>324</v>
      </c>
      <c r="F21" s="61" t="s">
        <v>324</v>
      </c>
      <c r="G21" s="68" t="s">
        <v>352</v>
      </c>
      <c r="H21" s="68" t="s">
        <v>352</v>
      </c>
      <c r="I21" s="87" t="s">
        <v>464</v>
      </c>
      <c r="J21" s="87" t="s">
        <v>266</v>
      </c>
      <c r="K21" s="61" t="s">
        <v>324</v>
      </c>
      <c r="L21" s="87" t="s">
        <v>266</v>
      </c>
      <c r="M21" s="87" t="s">
        <v>266</v>
      </c>
    </row>
    <row r="22" spans="1:13" ht="15" customHeight="1" x14ac:dyDescent="0.3">
      <c r="B22" s="58">
        <v>6.2</v>
      </c>
      <c r="C22" s="2" t="s">
        <v>459</v>
      </c>
      <c r="D22" s="68" t="s">
        <v>352</v>
      </c>
      <c r="E22" s="61" t="s">
        <v>324</v>
      </c>
      <c r="F22" s="61" t="s">
        <v>324</v>
      </c>
      <c r="G22" s="68" t="s">
        <v>352</v>
      </c>
      <c r="H22" s="61" t="s">
        <v>324</v>
      </c>
      <c r="I22" s="87" t="s">
        <v>464</v>
      </c>
      <c r="J22" s="87" t="s">
        <v>266</v>
      </c>
      <c r="K22" s="61" t="s">
        <v>324</v>
      </c>
      <c r="L22" s="87" t="s">
        <v>266</v>
      </c>
      <c r="M22" s="87" t="s">
        <v>266</v>
      </c>
    </row>
    <row r="23" spans="1:13" x14ac:dyDescent="0.3">
      <c r="B23" s="58">
        <v>6.2</v>
      </c>
      <c r="C23" s="2" t="s">
        <v>460</v>
      </c>
      <c r="D23" s="68" t="s">
        <v>352</v>
      </c>
      <c r="E23" s="61" t="s">
        <v>324</v>
      </c>
      <c r="F23" s="68" t="s">
        <v>352</v>
      </c>
      <c r="G23" s="68" t="s">
        <v>352</v>
      </c>
      <c r="H23" s="61" t="s">
        <v>324</v>
      </c>
      <c r="I23" s="87" t="s">
        <v>464</v>
      </c>
      <c r="J23" s="87" t="s">
        <v>266</v>
      </c>
      <c r="K23" s="61" t="s">
        <v>324</v>
      </c>
      <c r="L23" s="87" t="s">
        <v>266</v>
      </c>
      <c r="M23" s="87" t="s">
        <v>266</v>
      </c>
    </row>
    <row r="24" spans="1:13" x14ac:dyDescent="0.3">
      <c r="B24" s="81"/>
      <c r="C24" s="82"/>
      <c r="D24" s="83"/>
      <c r="E24" s="83"/>
      <c r="F24" s="83"/>
      <c r="G24" s="83"/>
      <c r="H24" s="90"/>
      <c r="I24" s="90"/>
      <c r="J24" s="90"/>
      <c r="K24" s="90"/>
      <c r="L24" s="90"/>
      <c r="M24" s="90"/>
    </row>
    <row r="25" spans="1:13" x14ac:dyDescent="0.3">
      <c r="B25" s="63" t="s">
        <v>33</v>
      </c>
    </row>
    <row r="26" spans="1:13" ht="25.5" customHeight="1" x14ac:dyDescent="0.3">
      <c r="A26">
        <v>1</v>
      </c>
      <c r="B26" s="131" t="s">
        <v>550</v>
      </c>
      <c r="C26" s="131"/>
      <c r="D26" s="131"/>
      <c r="E26" s="131"/>
      <c r="F26" s="131"/>
      <c r="G26" s="131"/>
      <c r="H26" s="131"/>
      <c r="I26" s="131"/>
      <c r="J26" s="131"/>
      <c r="K26" s="131"/>
    </row>
    <row r="27" spans="1:13" ht="24" customHeight="1" x14ac:dyDescent="0.3">
      <c r="A27">
        <v>2</v>
      </c>
      <c r="B27" s="131" t="s">
        <v>514</v>
      </c>
      <c r="C27" s="131"/>
      <c r="D27" s="131"/>
      <c r="E27" s="131"/>
      <c r="F27" s="131"/>
      <c r="G27" s="131"/>
      <c r="H27" s="131"/>
      <c r="I27" s="131"/>
      <c r="J27" s="131"/>
      <c r="K27" s="131"/>
    </row>
    <row r="28" spans="1:13" x14ac:dyDescent="0.3">
      <c r="A28">
        <v>3</v>
      </c>
      <c r="B28" s="132" t="s">
        <v>515</v>
      </c>
      <c r="C28" s="132"/>
      <c r="D28" s="132"/>
      <c r="E28" s="132"/>
      <c r="F28" s="132"/>
      <c r="G28" s="132"/>
      <c r="H28" s="132"/>
      <c r="I28" s="132"/>
      <c r="J28" s="132"/>
      <c r="K28" s="132"/>
    </row>
  </sheetData>
  <mergeCells count="12">
    <mergeCell ref="B26:K26"/>
    <mergeCell ref="B27:K27"/>
    <mergeCell ref="B28:K28"/>
    <mergeCell ref="C4:C5"/>
    <mergeCell ref="B4:B5"/>
    <mergeCell ref="H4:H5"/>
    <mergeCell ref="D4:G4"/>
    <mergeCell ref="L4:L5"/>
    <mergeCell ref="M4:M5"/>
    <mergeCell ref="I4:I5"/>
    <mergeCell ref="J4:J5"/>
    <mergeCell ref="K4:K5"/>
  </mergeCells>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20222-892B-4E78-83E5-A02196FF38A1}">
  <dimension ref="B2:I30"/>
  <sheetViews>
    <sheetView topLeftCell="A30" zoomScaleNormal="100" workbookViewId="0">
      <selection activeCell="A30" sqref="A30"/>
    </sheetView>
  </sheetViews>
  <sheetFormatPr defaultRowHeight="15" x14ac:dyDescent="0.25"/>
  <cols>
    <col min="1" max="1" width="4.5703125" customWidth="1"/>
    <col min="2" max="2" width="3.85546875" customWidth="1"/>
    <col min="3" max="3" width="64.85546875" customWidth="1"/>
    <col min="4" max="4" width="15.42578125" customWidth="1"/>
    <col min="5" max="5" width="9.7109375" customWidth="1"/>
    <col min="6" max="6" width="18.28515625" customWidth="1"/>
    <col min="7" max="7" width="12" customWidth="1"/>
    <col min="8" max="8" width="11.42578125" customWidth="1"/>
    <col min="9" max="9" width="10" customWidth="1"/>
  </cols>
  <sheetData>
    <row r="2" spans="2:9" x14ac:dyDescent="0.25">
      <c r="B2" s="57" t="s">
        <v>363</v>
      </c>
    </row>
    <row r="4" spans="2:9" ht="28.5" customHeight="1" x14ac:dyDescent="0.25">
      <c r="B4" s="129" t="s">
        <v>23</v>
      </c>
      <c r="C4" s="129" t="s">
        <v>361</v>
      </c>
      <c r="D4" s="129" t="s">
        <v>362</v>
      </c>
      <c r="E4" s="129" t="s">
        <v>604</v>
      </c>
      <c r="F4" s="129"/>
      <c r="G4" s="129"/>
      <c r="H4" s="129"/>
      <c r="I4" s="129"/>
    </row>
    <row r="5" spans="2:9" ht="57" customHeight="1" x14ac:dyDescent="0.25">
      <c r="B5" s="129"/>
      <c r="C5" s="129"/>
      <c r="D5" s="129"/>
      <c r="E5" s="116" t="s">
        <v>6</v>
      </c>
      <c r="F5" s="91" t="s">
        <v>321</v>
      </c>
      <c r="G5" s="91" t="s">
        <v>288</v>
      </c>
      <c r="H5" s="91" t="s">
        <v>46</v>
      </c>
      <c r="I5" s="64" t="s">
        <v>106</v>
      </c>
    </row>
    <row r="6" spans="2:9" ht="51" customHeight="1" x14ac:dyDescent="0.25">
      <c r="B6" s="58">
        <f>ROW(B1)</f>
        <v>1</v>
      </c>
      <c r="C6" s="103" t="s">
        <v>121</v>
      </c>
      <c r="D6" s="2" t="s">
        <v>39</v>
      </c>
      <c r="E6" s="61" t="s">
        <v>324</v>
      </c>
      <c r="F6" s="62" t="s">
        <v>9</v>
      </c>
      <c r="G6" s="62" t="s">
        <v>9</v>
      </c>
      <c r="H6" s="62" t="s">
        <v>9</v>
      </c>
      <c r="I6" s="62" t="s">
        <v>9</v>
      </c>
    </row>
    <row r="7" spans="2:9" ht="63.75" customHeight="1" x14ac:dyDescent="0.25">
      <c r="B7" s="58">
        <f t="shared" ref="B7:B30" si="0">ROW(B2)</f>
        <v>2</v>
      </c>
      <c r="C7" s="103" t="s">
        <v>602</v>
      </c>
      <c r="D7" s="2" t="s">
        <v>39</v>
      </c>
      <c r="E7" s="62" t="s">
        <v>9</v>
      </c>
      <c r="F7" s="62" t="s">
        <v>9</v>
      </c>
      <c r="G7" s="62" t="s">
        <v>9</v>
      </c>
      <c r="H7" s="61" t="s">
        <v>324</v>
      </c>
      <c r="I7" s="62" t="s">
        <v>9</v>
      </c>
    </row>
    <row r="8" spans="2:9" ht="73.5" customHeight="1" x14ac:dyDescent="0.25">
      <c r="B8" s="58">
        <f t="shared" si="0"/>
        <v>3</v>
      </c>
      <c r="C8" s="103" t="s">
        <v>603</v>
      </c>
      <c r="D8" s="2" t="s">
        <v>39</v>
      </c>
      <c r="E8" s="62" t="s">
        <v>9</v>
      </c>
      <c r="F8" s="61" t="s">
        <v>324</v>
      </c>
      <c r="G8" s="62" t="s">
        <v>9</v>
      </c>
      <c r="H8" s="62" t="s">
        <v>9</v>
      </c>
      <c r="I8" s="62" t="s">
        <v>9</v>
      </c>
    </row>
    <row r="9" spans="2:9" ht="77.25" customHeight="1" x14ac:dyDescent="0.25">
      <c r="B9" s="58">
        <f t="shared" si="0"/>
        <v>4</v>
      </c>
      <c r="C9" s="103" t="s">
        <v>542</v>
      </c>
      <c r="D9" s="2" t="s">
        <v>534</v>
      </c>
      <c r="E9" s="2"/>
      <c r="F9" s="62" t="s">
        <v>9</v>
      </c>
      <c r="G9" s="62" t="s">
        <v>9</v>
      </c>
      <c r="H9" s="61" t="s">
        <v>324</v>
      </c>
      <c r="I9" s="62" t="s">
        <v>9</v>
      </c>
    </row>
    <row r="10" spans="2:9" ht="127.5" customHeight="1" x14ac:dyDescent="0.25">
      <c r="B10" s="58">
        <f t="shared" si="0"/>
        <v>5</v>
      </c>
      <c r="C10" s="103" t="s">
        <v>535</v>
      </c>
      <c r="D10" s="2" t="s">
        <v>534</v>
      </c>
      <c r="E10" s="2"/>
      <c r="F10" s="61" t="s">
        <v>324</v>
      </c>
      <c r="G10" s="61" t="s">
        <v>324</v>
      </c>
      <c r="H10" s="62" t="s">
        <v>9</v>
      </c>
      <c r="I10" s="62" t="s">
        <v>9</v>
      </c>
    </row>
    <row r="11" spans="2:9" ht="47.25" customHeight="1" x14ac:dyDescent="0.25">
      <c r="B11" s="58">
        <f t="shared" si="0"/>
        <v>6</v>
      </c>
      <c r="C11" s="2" t="s">
        <v>538</v>
      </c>
      <c r="D11" s="9" t="s">
        <v>99</v>
      </c>
      <c r="E11" s="9"/>
      <c r="F11" s="61" t="s">
        <v>324</v>
      </c>
      <c r="G11" s="61" t="s">
        <v>324</v>
      </c>
      <c r="H11" s="62" t="s">
        <v>9</v>
      </c>
      <c r="I11" s="62" t="s">
        <v>9</v>
      </c>
    </row>
    <row r="12" spans="2:9" ht="54.75" customHeight="1" x14ac:dyDescent="0.25">
      <c r="B12" s="58">
        <f t="shared" si="0"/>
        <v>7</v>
      </c>
      <c r="C12" s="2" t="s">
        <v>540</v>
      </c>
      <c r="D12" s="9" t="s">
        <v>99</v>
      </c>
      <c r="E12" s="9"/>
      <c r="F12" s="61" t="s">
        <v>324</v>
      </c>
      <c r="G12" s="61" t="s">
        <v>324</v>
      </c>
      <c r="H12" s="62" t="s">
        <v>9</v>
      </c>
      <c r="I12" s="62" t="s">
        <v>9</v>
      </c>
    </row>
    <row r="13" spans="2:9" ht="48" customHeight="1" x14ac:dyDescent="0.25">
      <c r="B13" s="58">
        <f t="shared" si="0"/>
        <v>8</v>
      </c>
      <c r="C13" s="2" t="s">
        <v>146</v>
      </c>
      <c r="D13" s="9" t="s">
        <v>99</v>
      </c>
      <c r="E13" s="9"/>
      <c r="F13" s="62" t="s">
        <v>9</v>
      </c>
      <c r="G13" s="62" t="s">
        <v>9</v>
      </c>
      <c r="H13" s="61" t="s">
        <v>324</v>
      </c>
      <c r="I13" s="62" t="s">
        <v>9</v>
      </c>
    </row>
    <row r="14" spans="2:9" ht="46.5" customHeight="1" x14ac:dyDescent="0.25">
      <c r="B14" s="58">
        <f t="shared" si="0"/>
        <v>9</v>
      </c>
      <c r="C14" s="53" t="s">
        <v>541</v>
      </c>
      <c r="D14" s="9" t="s">
        <v>99</v>
      </c>
      <c r="E14" s="9"/>
      <c r="F14" s="62" t="s">
        <v>9</v>
      </c>
      <c r="G14" s="62" t="s">
        <v>9</v>
      </c>
      <c r="H14" s="62" t="s">
        <v>9</v>
      </c>
      <c r="I14" s="61" t="s">
        <v>324</v>
      </c>
    </row>
    <row r="15" spans="2:9" ht="46.5" customHeight="1" x14ac:dyDescent="0.25">
      <c r="B15" s="58">
        <f t="shared" si="0"/>
        <v>10</v>
      </c>
      <c r="C15" s="53" t="s">
        <v>543</v>
      </c>
      <c r="D15" s="9" t="s">
        <v>99</v>
      </c>
      <c r="E15" s="9"/>
      <c r="F15" s="62" t="s">
        <v>9</v>
      </c>
      <c r="G15" s="62" t="s">
        <v>9</v>
      </c>
      <c r="H15" s="62" t="s">
        <v>9</v>
      </c>
      <c r="I15" s="61" t="s">
        <v>324</v>
      </c>
    </row>
    <row r="16" spans="2:9" ht="54.75" customHeight="1" x14ac:dyDescent="0.25">
      <c r="B16" s="58">
        <f t="shared" si="0"/>
        <v>11</v>
      </c>
      <c r="C16" s="2" t="s">
        <v>124</v>
      </c>
      <c r="D16" s="9" t="s">
        <v>99</v>
      </c>
      <c r="E16" s="9"/>
      <c r="F16" s="62" t="s">
        <v>9</v>
      </c>
      <c r="G16" s="62" t="s">
        <v>9</v>
      </c>
      <c r="H16" s="61" t="s">
        <v>324</v>
      </c>
      <c r="I16" s="62" t="s">
        <v>9</v>
      </c>
    </row>
    <row r="17" spans="2:9" ht="45.75" customHeight="1" x14ac:dyDescent="0.25">
      <c r="B17" s="58">
        <f t="shared" si="0"/>
        <v>12</v>
      </c>
      <c r="C17" s="2" t="s">
        <v>545</v>
      </c>
      <c r="D17" s="9" t="s">
        <v>99</v>
      </c>
      <c r="E17" s="9"/>
      <c r="F17" s="62" t="s">
        <v>9</v>
      </c>
      <c r="G17" s="62" t="s">
        <v>9</v>
      </c>
      <c r="H17" s="61" t="s">
        <v>324</v>
      </c>
      <c r="I17" s="62" t="s">
        <v>9</v>
      </c>
    </row>
    <row r="18" spans="2:9" ht="57" customHeight="1" x14ac:dyDescent="0.25">
      <c r="B18" s="58">
        <f t="shared" si="0"/>
        <v>13</v>
      </c>
      <c r="C18" s="2" t="s">
        <v>544</v>
      </c>
      <c r="D18" s="9" t="s">
        <v>99</v>
      </c>
      <c r="E18" s="9"/>
      <c r="F18" s="62" t="s">
        <v>9</v>
      </c>
      <c r="G18" s="62" t="s">
        <v>9</v>
      </c>
      <c r="H18" s="61" t="s">
        <v>324</v>
      </c>
      <c r="I18" s="62" t="s">
        <v>9</v>
      </c>
    </row>
    <row r="19" spans="2:9" ht="42" customHeight="1" x14ac:dyDescent="0.25">
      <c r="B19" s="58">
        <f t="shared" si="0"/>
        <v>14</v>
      </c>
      <c r="C19" s="2" t="s">
        <v>364</v>
      </c>
      <c r="D19" s="9" t="s">
        <v>99</v>
      </c>
      <c r="E19" s="9"/>
      <c r="F19" s="61" t="s">
        <v>324</v>
      </c>
      <c r="G19" s="61" t="s">
        <v>324</v>
      </c>
      <c r="H19" s="62" t="s">
        <v>9</v>
      </c>
      <c r="I19" s="62" t="s">
        <v>9</v>
      </c>
    </row>
    <row r="20" spans="2:9" ht="41.25" customHeight="1" x14ac:dyDescent="0.25">
      <c r="B20" s="58">
        <f t="shared" si="0"/>
        <v>15</v>
      </c>
      <c r="C20" s="35" t="s">
        <v>365</v>
      </c>
      <c r="D20" s="35" t="s">
        <v>117</v>
      </c>
      <c r="E20" s="35"/>
      <c r="F20" s="61" t="s">
        <v>324</v>
      </c>
      <c r="G20" s="61" t="s">
        <v>324</v>
      </c>
      <c r="H20" s="62" t="s">
        <v>9</v>
      </c>
      <c r="I20" s="62" t="s">
        <v>9</v>
      </c>
    </row>
    <row r="21" spans="2:9" ht="42.75" customHeight="1" x14ac:dyDescent="0.25">
      <c r="B21" s="58">
        <f t="shared" si="0"/>
        <v>16</v>
      </c>
      <c r="C21" s="9" t="s">
        <v>546</v>
      </c>
      <c r="D21" s="35" t="s">
        <v>117</v>
      </c>
      <c r="E21" s="35"/>
      <c r="F21" s="61" t="s">
        <v>324</v>
      </c>
      <c r="G21" s="61" t="s">
        <v>324</v>
      </c>
      <c r="H21" s="61" t="s">
        <v>324</v>
      </c>
      <c r="I21" s="62" t="s">
        <v>9</v>
      </c>
    </row>
    <row r="22" spans="2:9" ht="57.75" customHeight="1" x14ac:dyDescent="0.25">
      <c r="B22" s="58">
        <f t="shared" si="0"/>
        <v>17</v>
      </c>
      <c r="C22" s="16" t="s">
        <v>547</v>
      </c>
      <c r="D22" s="9" t="s">
        <v>99</v>
      </c>
      <c r="E22" s="9"/>
      <c r="F22" s="62" t="s">
        <v>9</v>
      </c>
      <c r="G22" s="61" t="s">
        <v>324</v>
      </c>
      <c r="H22" s="62" t="s">
        <v>9</v>
      </c>
      <c r="I22" s="62" t="s">
        <v>9</v>
      </c>
    </row>
    <row r="23" spans="2:9" ht="57.75" customHeight="1" x14ac:dyDescent="0.25">
      <c r="B23" s="58">
        <f t="shared" si="0"/>
        <v>18</v>
      </c>
      <c r="C23" s="35" t="s">
        <v>548</v>
      </c>
      <c r="D23" s="9" t="s">
        <v>99</v>
      </c>
      <c r="E23" s="9"/>
      <c r="F23" s="61" t="s">
        <v>324</v>
      </c>
      <c r="G23" s="62" t="s">
        <v>9</v>
      </c>
      <c r="H23" s="62" t="s">
        <v>9</v>
      </c>
      <c r="I23" s="62" t="s">
        <v>9</v>
      </c>
    </row>
    <row r="24" spans="2:9" ht="42.75" customHeight="1" x14ac:dyDescent="0.25">
      <c r="B24" s="58">
        <f t="shared" si="0"/>
        <v>19</v>
      </c>
      <c r="C24" s="16" t="s">
        <v>549</v>
      </c>
      <c r="D24" s="9" t="s">
        <v>99</v>
      </c>
      <c r="E24" s="9"/>
      <c r="F24" s="62" t="s">
        <v>9</v>
      </c>
      <c r="G24" s="62" t="s">
        <v>9</v>
      </c>
      <c r="H24" s="62" t="s">
        <v>9</v>
      </c>
      <c r="I24" s="62" t="s">
        <v>9</v>
      </c>
    </row>
    <row r="25" spans="2:9" ht="56.25" customHeight="1" x14ac:dyDescent="0.25">
      <c r="B25" s="58">
        <f t="shared" si="0"/>
        <v>20</v>
      </c>
      <c r="C25" s="47" t="s">
        <v>554</v>
      </c>
      <c r="D25" s="9" t="s">
        <v>99</v>
      </c>
      <c r="E25" s="9"/>
      <c r="F25" s="62" t="s">
        <v>9</v>
      </c>
      <c r="G25" s="62" t="s">
        <v>9</v>
      </c>
      <c r="H25" s="62" t="s">
        <v>9</v>
      </c>
      <c r="I25" s="62" t="s">
        <v>9</v>
      </c>
    </row>
    <row r="26" spans="2:9" ht="42.75" customHeight="1" x14ac:dyDescent="0.25">
      <c r="B26" s="58">
        <f t="shared" si="0"/>
        <v>21</v>
      </c>
      <c r="C26" s="47" t="s">
        <v>556</v>
      </c>
      <c r="D26" s="2" t="s">
        <v>117</v>
      </c>
      <c r="E26" s="2"/>
      <c r="F26" s="61" t="s">
        <v>324</v>
      </c>
      <c r="G26" s="62" t="s">
        <v>9</v>
      </c>
      <c r="H26" s="62" t="s">
        <v>9</v>
      </c>
      <c r="I26" s="62" t="s">
        <v>9</v>
      </c>
    </row>
    <row r="27" spans="2:9" ht="38.25" x14ac:dyDescent="0.25">
      <c r="B27" s="58">
        <f t="shared" si="0"/>
        <v>22</v>
      </c>
      <c r="C27" s="47" t="s">
        <v>557</v>
      </c>
      <c r="D27" s="2" t="s">
        <v>117</v>
      </c>
      <c r="E27" s="2"/>
      <c r="F27" s="61" t="s">
        <v>324</v>
      </c>
      <c r="G27" s="62" t="s">
        <v>9</v>
      </c>
      <c r="H27" s="62" t="s">
        <v>9</v>
      </c>
      <c r="I27" s="62" t="s">
        <v>9</v>
      </c>
    </row>
    <row r="28" spans="2:9" ht="63.75" x14ac:dyDescent="0.25">
      <c r="B28" s="58">
        <f t="shared" si="0"/>
        <v>23</v>
      </c>
      <c r="C28" s="16" t="s">
        <v>558</v>
      </c>
      <c r="D28" s="9" t="s">
        <v>99</v>
      </c>
      <c r="E28" s="9"/>
      <c r="F28" s="61" t="s">
        <v>324</v>
      </c>
      <c r="G28" s="61" t="s">
        <v>324</v>
      </c>
      <c r="H28" s="62" t="s">
        <v>9</v>
      </c>
      <c r="I28" s="62" t="s">
        <v>9</v>
      </c>
    </row>
    <row r="29" spans="2:9" ht="38.25" x14ac:dyDescent="0.25">
      <c r="B29" s="58">
        <f t="shared" si="0"/>
        <v>24</v>
      </c>
      <c r="C29" s="16" t="s">
        <v>559</v>
      </c>
      <c r="D29" s="2" t="s">
        <v>117</v>
      </c>
      <c r="E29" s="2"/>
      <c r="F29" s="62" t="s">
        <v>9</v>
      </c>
      <c r="G29" s="62" t="s">
        <v>9</v>
      </c>
      <c r="H29" s="61" t="s">
        <v>324</v>
      </c>
      <c r="I29" s="62" t="s">
        <v>9</v>
      </c>
    </row>
    <row r="30" spans="2:9" ht="38.25" x14ac:dyDescent="0.25">
      <c r="B30" s="58">
        <f t="shared" si="0"/>
        <v>25</v>
      </c>
      <c r="C30" s="16" t="s">
        <v>560</v>
      </c>
      <c r="D30" s="9" t="s">
        <v>99</v>
      </c>
      <c r="E30" s="9"/>
      <c r="F30" s="61" t="s">
        <v>324</v>
      </c>
      <c r="G30" s="62" t="s">
        <v>9</v>
      </c>
      <c r="H30" s="62" t="s">
        <v>9</v>
      </c>
      <c r="I30" s="62" t="s">
        <v>9</v>
      </c>
    </row>
  </sheetData>
  <mergeCells count="4">
    <mergeCell ref="E4:I4"/>
    <mergeCell ref="C4:C5"/>
    <mergeCell ref="D4:D5"/>
    <mergeCell ref="B4:B5"/>
  </mergeCells>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E6C4F-0AB9-4AD6-8445-704DD07B0CD3}">
  <dimension ref="A1:J35"/>
  <sheetViews>
    <sheetView zoomScaleNormal="100" workbookViewId="0">
      <selection activeCell="G5" sqref="G5:G31"/>
    </sheetView>
  </sheetViews>
  <sheetFormatPr defaultRowHeight="15" x14ac:dyDescent="0.25"/>
  <cols>
    <col min="1" max="1" width="4.85546875" customWidth="1"/>
    <col min="2" max="2" width="3.140625" customWidth="1"/>
    <col min="3" max="3" width="68.42578125" style="36" customWidth="1"/>
    <col min="4" max="4" width="21" customWidth="1"/>
    <col min="5" max="5" width="17.42578125" customWidth="1"/>
    <col min="6" max="6" width="21" customWidth="1"/>
    <col min="7" max="7" width="13.140625" customWidth="1"/>
  </cols>
  <sheetData>
    <row r="1" spans="2:7" x14ac:dyDescent="0.25">
      <c r="E1" s="135" t="s">
        <v>0</v>
      </c>
      <c r="F1" s="135"/>
      <c r="G1" s="135"/>
    </row>
    <row r="2" spans="2:7" ht="14.25" customHeight="1" x14ac:dyDescent="0.25">
      <c r="B2" s="136" t="s">
        <v>523</v>
      </c>
      <c r="C2" s="136"/>
      <c r="D2" s="136"/>
      <c r="E2" s="136"/>
      <c r="F2" s="136"/>
    </row>
    <row r="4" spans="2:7" ht="56.25" customHeight="1" x14ac:dyDescent="0.25">
      <c r="B4" s="66" t="s">
        <v>23</v>
      </c>
      <c r="C4" s="46" t="s">
        <v>218</v>
      </c>
      <c r="D4" s="46" t="s">
        <v>516</v>
      </c>
      <c r="E4" s="46" t="s">
        <v>517</v>
      </c>
      <c r="F4" s="64" t="s">
        <v>286</v>
      </c>
      <c r="G4" s="70" t="s">
        <v>498</v>
      </c>
    </row>
    <row r="5" spans="2:7" x14ac:dyDescent="0.25">
      <c r="B5" s="7" t="s">
        <v>187</v>
      </c>
      <c r="C5" s="9" t="s">
        <v>328</v>
      </c>
      <c r="D5" s="17" t="s">
        <v>275</v>
      </c>
      <c r="E5" s="17" t="s">
        <v>266</v>
      </c>
      <c r="F5" s="68" t="s">
        <v>352</v>
      </c>
      <c r="G5" s="137" t="s">
        <v>500</v>
      </c>
    </row>
    <row r="6" spans="2:7" ht="16.5" x14ac:dyDescent="0.25">
      <c r="B6" s="7" t="s">
        <v>188</v>
      </c>
      <c r="C6" s="9" t="s">
        <v>330</v>
      </c>
      <c r="D6" s="7" t="s">
        <v>353</v>
      </c>
      <c r="E6" s="7" t="s">
        <v>6</v>
      </c>
      <c r="F6" s="69" t="s">
        <v>324</v>
      </c>
      <c r="G6" s="138"/>
    </row>
    <row r="7" spans="2:7" ht="25.5" x14ac:dyDescent="0.25">
      <c r="B7" s="7" t="s">
        <v>518</v>
      </c>
      <c r="C7" s="9" t="s">
        <v>334</v>
      </c>
      <c r="D7" s="7" t="s">
        <v>266</v>
      </c>
      <c r="E7" s="7" t="s">
        <v>6</v>
      </c>
      <c r="F7" s="69" t="s">
        <v>324</v>
      </c>
      <c r="G7" s="139"/>
    </row>
    <row r="8" spans="2:7" ht="25.5" x14ac:dyDescent="0.25">
      <c r="B8" s="7" t="s">
        <v>191</v>
      </c>
      <c r="C8" s="9" t="s">
        <v>329</v>
      </c>
      <c r="D8" s="17" t="s">
        <v>275</v>
      </c>
      <c r="E8" s="17" t="s">
        <v>266</v>
      </c>
      <c r="F8" s="68" t="s">
        <v>352</v>
      </c>
      <c r="G8" s="137" t="s">
        <v>500</v>
      </c>
    </row>
    <row r="9" spans="2:7" ht="28.5" customHeight="1" x14ac:dyDescent="0.25">
      <c r="B9" s="7" t="s">
        <v>192</v>
      </c>
      <c r="C9" s="9" t="s">
        <v>331</v>
      </c>
      <c r="D9" s="7" t="s">
        <v>353</v>
      </c>
      <c r="E9" s="7" t="s">
        <v>6</v>
      </c>
      <c r="F9" s="69" t="s">
        <v>324</v>
      </c>
      <c r="G9" s="138"/>
    </row>
    <row r="10" spans="2:7" ht="42" customHeight="1" x14ac:dyDescent="0.25">
      <c r="B10" s="7" t="s">
        <v>519</v>
      </c>
      <c r="C10" s="9" t="s">
        <v>354</v>
      </c>
      <c r="D10" s="7" t="s">
        <v>266</v>
      </c>
      <c r="E10" s="7" t="s">
        <v>6</v>
      </c>
      <c r="F10" s="69" t="s">
        <v>324</v>
      </c>
      <c r="G10" s="139"/>
    </row>
    <row r="11" spans="2:7" ht="25.5" x14ac:dyDescent="0.25">
      <c r="B11" s="7" t="s">
        <v>200</v>
      </c>
      <c r="C11" s="9" t="s">
        <v>332</v>
      </c>
      <c r="D11" s="17" t="s">
        <v>275</v>
      </c>
      <c r="E11" s="17" t="s">
        <v>266</v>
      </c>
      <c r="F11" s="68" t="s">
        <v>352</v>
      </c>
      <c r="G11" s="137" t="s">
        <v>500</v>
      </c>
    </row>
    <row r="12" spans="2:7" ht="27.75" customHeight="1" x14ac:dyDescent="0.25">
      <c r="B12" s="7" t="s">
        <v>201</v>
      </c>
      <c r="C12" s="9" t="s">
        <v>333</v>
      </c>
      <c r="D12" s="7" t="s">
        <v>353</v>
      </c>
      <c r="E12" s="7" t="s">
        <v>6</v>
      </c>
      <c r="F12" s="69" t="s">
        <v>324</v>
      </c>
      <c r="G12" s="138"/>
    </row>
    <row r="13" spans="2:7" ht="39.75" customHeight="1" x14ac:dyDescent="0.25">
      <c r="B13" s="7" t="s">
        <v>380</v>
      </c>
      <c r="C13" s="9" t="s">
        <v>335</v>
      </c>
      <c r="D13" s="7" t="s">
        <v>266</v>
      </c>
      <c r="E13" s="7" t="s">
        <v>6</v>
      </c>
      <c r="F13" s="69" t="s">
        <v>324</v>
      </c>
      <c r="G13" s="139"/>
    </row>
    <row r="14" spans="2:7" ht="51" x14ac:dyDescent="0.25">
      <c r="B14" s="7" t="s">
        <v>520</v>
      </c>
      <c r="C14" s="9" t="s">
        <v>336</v>
      </c>
      <c r="D14" s="17" t="s">
        <v>275</v>
      </c>
      <c r="E14" s="17" t="s">
        <v>266</v>
      </c>
      <c r="F14" s="68" t="s">
        <v>352</v>
      </c>
      <c r="G14" s="137" t="s">
        <v>500</v>
      </c>
    </row>
    <row r="15" spans="2:7" ht="45.75" customHeight="1" x14ac:dyDescent="0.25">
      <c r="B15" s="7" t="s">
        <v>521</v>
      </c>
      <c r="C15" s="9" t="s">
        <v>337</v>
      </c>
      <c r="D15" s="7" t="s">
        <v>353</v>
      </c>
      <c r="E15" s="7" t="s">
        <v>6</v>
      </c>
      <c r="F15" s="69" t="s">
        <v>324</v>
      </c>
      <c r="G15" s="138"/>
    </row>
    <row r="16" spans="2:7" ht="60.75" customHeight="1" x14ac:dyDescent="0.25">
      <c r="B16" s="7" t="s">
        <v>522</v>
      </c>
      <c r="C16" s="9" t="s">
        <v>338</v>
      </c>
      <c r="D16" s="7" t="s">
        <v>266</v>
      </c>
      <c r="E16" s="7" t="s">
        <v>6</v>
      </c>
      <c r="F16" s="69" t="s">
        <v>324</v>
      </c>
      <c r="G16" s="139"/>
    </row>
    <row r="17" spans="2:7" ht="34.5" customHeight="1" x14ac:dyDescent="0.25">
      <c r="B17" s="7">
        <v>5</v>
      </c>
      <c r="C17" s="9" t="s">
        <v>339</v>
      </c>
      <c r="D17" s="7" t="s">
        <v>106</v>
      </c>
      <c r="E17" s="7" t="s">
        <v>6</v>
      </c>
      <c r="F17" s="69" t="s">
        <v>324</v>
      </c>
      <c r="G17" s="104" t="s">
        <v>459</v>
      </c>
    </row>
    <row r="18" spans="2:7" ht="40.5" customHeight="1" x14ac:dyDescent="0.25">
      <c r="B18" s="7">
        <v>6</v>
      </c>
      <c r="C18" s="9" t="s">
        <v>340</v>
      </c>
      <c r="D18" s="9" t="s">
        <v>355</v>
      </c>
      <c r="E18" s="7" t="s">
        <v>6</v>
      </c>
      <c r="F18" s="69" t="s">
        <v>324</v>
      </c>
      <c r="G18" s="104" t="s">
        <v>459</v>
      </c>
    </row>
    <row r="19" spans="2:7" ht="76.5" x14ac:dyDescent="0.25">
      <c r="B19" s="7">
        <v>7</v>
      </c>
      <c r="C19" s="9" t="s">
        <v>341</v>
      </c>
      <c r="D19" s="9" t="s">
        <v>356</v>
      </c>
      <c r="E19" s="9" t="s">
        <v>356</v>
      </c>
      <c r="F19" s="68" t="s">
        <v>352</v>
      </c>
      <c r="G19" s="104" t="s">
        <v>459</v>
      </c>
    </row>
    <row r="20" spans="2:7" ht="25.5" x14ac:dyDescent="0.25">
      <c r="B20" s="7">
        <v>8</v>
      </c>
      <c r="C20" s="9" t="s">
        <v>342</v>
      </c>
      <c r="D20" s="17" t="s">
        <v>275</v>
      </c>
      <c r="E20" s="17" t="s">
        <v>266</v>
      </c>
      <c r="F20" s="68" t="s">
        <v>352</v>
      </c>
      <c r="G20" s="104" t="s">
        <v>459</v>
      </c>
    </row>
    <row r="21" spans="2:7" ht="37.5" customHeight="1" x14ac:dyDescent="0.25">
      <c r="B21" s="7">
        <v>9</v>
      </c>
      <c r="C21" s="9" t="s">
        <v>343</v>
      </c>
      <c r="D21" s="9" t="s">
        <v>357</v>
      </c>
      <c r="E21" s="7" t="s">
        <v>6</v>
      </c>
      <c r="F21" s="69" t="s">
        <v>324</v>
      </c>
      <c r="G21" s="104" t="s">
        <v>459</v>
      </c>
    </row>
    <row r="22" spans="2:7" ht="16.5" x14ac:dyDescent="0.25">
      <c r="B22" s="7">
        <v>10</v>
      </c>
      <c r="C22" s="9" t="s">
        <v>344</v>
      </c>
      <c r="D22" s="7" t="s">
        <v>106</v>
      </c>
      <c r="E22" s="7" t="s">
        <v>6</v>
      </c>
      <c r="F22" s="69" t="s">
        <v>324</v>
      </c>
      <c r="G22" s="104" t="s">
        <v>459</v>
      </c>
    </row>
    <row r="23" spans="2:7" ht="25.5" x14ac:dyDescent="0.25">
      <c r="B23" s="7">
        <v>17</v>
      </c>
      <c r="C23" s="9" t="s">
        <v>345</v>
      </c>
      <c r="D23" s="7" t="s">
        <v>46</v>
      </c>
      <c r="E23" s="7" t="s">
        <v>46</v>
      </c>
      <c r="F23" s="68" t="s">
        <v>352</v>
      </c>
      <c r="G23" s="105" t="s">
        <v>500</v>
      </c>
    </row>
    <row r="24" spans="2:7" ht="38.25" x14ac:dyDescent="0.25">
      <c r="B24" s="7">
        <v>18</v>
      </c>
      <c r="C24" s="9" t="s">
        <v>346</v>
      </c>
      <c r="D24" s="9" t="s">
        <v>356</v>
      </c>
      <c r="E24" s="9" t="s">
        <v>356</v>
      </c>
      <c r="F24" s="68" t="s">
        <v>352</v>
      </c>
      <c r="G24" s="104" t="s">
        <v>459</v>
      </c>
    </row>
    <row r="25" spans="2:7" ht="38.25" x14ac:dyDescent="0.25">
      <c r="B25" s="7">
        <v>19</v>
      </c>
      <c r="C25" s="9" t="s">
        <v>347</v>
      </c>
      <c r="D25" s="9" t="s">
        <v>356</v>
      </c>
      <c r="E25" s="9" t="s">
        <v>356</v>
      </c>
      <c r="F25" s="68" t="s">
        <v>352</v>
      </c>
      <c r="G25" s="104" t="s">
        <v>459</v>
      </c>
    </row>
    <row r="26" spans="2:7" ht="25.5" x14ac:dyDescent="0.25">
      <c r="B26" s="7">
        <v>20</v>
      </c>
      <c r="C26" s="9" t="s">
        <v>348</v>
      </c>
      <c r="D26" s="7" t="s">
        <v>46</v>
      </c>
      <c r="E26" s="7" t="s">
        <v>46</v>
      </c>
      <c r="F26" s="68" t="s">
        <v>352</v>
      </c>
      <c r="G26" s="104" t="s">
        <v>459</v>
      </c>
    </row>
    <row r="27" spans="2:7" ht="38.25" x14ac:dyDescent="0.25">
      <c r="B27" s="7">
        <v>21</v>
      </c>
      <c r="C27" s="9" t="s">
        <v>358</v>
      </c>
      <c r="D27" s="9" t="s">
        <v>356</v>
      </c>
      <c r="E27" s="9" t="s">
        <v>356</v>
      </c>
      <c r="F27" s="68" t="s">
        <v>352</v>
      </c>
      <c r="G27" s="104" t="s">
        <v>459</v>
      </c>
    </row>
    <row r="28" spans="2:7" ht="63.75" x14ac:dyDescent="0.25">
      <c r="B28" s="7">
        <v>22</v>
      </c>
      <c r="C28" s="9" t="s">
        <v>349</v>
      </c>
      <c r="D28" s="7" t="s">
        <v>46</v>
      </c>
      <c r="E28" s="7" t="s">
        <v>46</v>
      </c>
      <c r="F28" s="68" t="s">
        <v>352</v>
      </c>
      <c r="G28" s="104" t="s">
        <v>459</v>
      </c>
    </row>
    <row r="29" spans="2:7" ht="38.25" x14ac:dyDescent="0.25">
      <c r="B29" s="7">
        <v>23</v>
      </c>
      <c r="C29" s="9" t="s">
        <v>359</v>
      </c>
      <c r="D29" s="9" t="s">
        <v>356</v>
      </c>
      <c r="E29" s="9" t="s">
        <v>356</v>
      </c>
      <c r="F29" s="68" t="s">
        <v>352</v>
      </c>
      <c r="G29" s="105" t="s">
        <v>500</v>
      </c>
    </row>
    <row r="30" spans="2:7" ht="38.25" x14ac:dyDescent="0.25">
      <c r="B30" s="7">
        <v>24</v>
      </c>
      <c r="C30" s="9" t="s">
        <v>350</v>
      </c>
      <c r="D30" s="7" t="s">
        <v>46</v>
      </c>
      <c r="E30" s="7" t="s">
        <v>46</v>
      </c>
      <c r="F30" s="68" t="s">
        <v>352</v>
      </c>
      <c r="G30" s="104" t="s">
        <v>459</v>
      </c>
    </row>
    <row r="31" spans="2:7" ht="42" customHeight="1" x14ac:dyDescent="0.25">
      <c r="B31" s="7">
        <v>25</v>
      </c>
      <c r="C31" s="9" t="s">
        <v>351</v>
      </c>
      <c r="D31" s="7" t="s">
        <v>46</v>
      </c>
      <c r="E31" s="7" t="s">
        <v>46</v>
      </c>
      <c r="F31" s="68" t="s">
        <v>352</v>
      </c>
      <c r="G31" s="104" t="s">
        <v>459</v>
      </c>
    </row>
    <row r="34" spans="1:10" x14ac:dyDescent="0.25">
      <c r="A34" s="100" t="s">
        <v>33</v>
      </c>
      <c r="B34" s="11"/>
      <c r="C34" s="10"/>
      <c r="D34" s="11"/>
      <c r="E34" s="11"/>
      <c r="F34" s="10"/>
      <c r="G34" s="10"/>
      <c r="H34" s="10"/>
      <c r="I34" s="10"/>
      <c r="J34" s="10"/>
    </row>
    <row r="35" spans="1:10" ht="36" customHeight="1" x14ac:dyDescent="0.25">
      <c r="A35" s="99">
        <v>1</v>
      </c>
      <c r="B35" s="121" t="s">
        <v>499</v>
      </c>
      <c r="C35" s="121"/>
      <c r="D35" s="121"/>
      <c r="E35" s="121"/>
      <c r="F35" s="121"/>
      <c r="G35" s="121"/>
      <c r="H35" s="102"/>
      <c r="I35" s="102"/>
      <c r="J35" s="102"/>
    </row>
  </sheetData>
  <mergeCells count="7">
    <mergeCell ref="E1:G1"/>
    <mergeCell ref="B2:F2"/>
    <mergeCell ref="B35:G35"/>
    <mergeCell ref="G5:G7"/>
    <mergeCell ref="G8:G10"/>
    <mergeCell ref="G11:G13"/>
    <mergeCell ref="G14:G16"/>
  </mergeCells>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CB144-2A01-43D3-8235-F7AD1F62FAE4}">
  <sheetPr>
    <pageSetUpPr fitToPage="1"/>
  </sheetPr>
  <dimension ref="A1:L12"/>
  <sheetViews>
    <sheetView zoomScaleNormal="100" workbookViewId="0">
      <pane ySplit="4" topLeftCell="A5" activePane="bottomLeft" state="frozen"/>
      <selection activeCell="M4" sqref="M4"/>
      <selection pane="bottomLeft" activeCell="D5" sqref="D5"/>
    </sheetView>
  </sheetViews>
  <sheetFormatPr defaultColWidth="8.7109375" defaultRowHeight="13.5" x14ac:dyDescent="0.25"/>
  <cols>
    <col min="1" max="1" width="4.85546875" style="11" customWidth="1"/>
    <col min="2" max="2" width="20.140625" style="11" customWidth="1"/>
    <col min="3" max="3" width="17.7109375" style="11" customWidth="1"/>
    <col min="4" max="4" width="40.85546875" style="10" customWidth="1"/>
    <col min="5" max="5" width="16.42578125" style="10" customWidth="1"/>
    <col min="6" max="6" width="11.28515625" style="10" customWidth="1"/>
    <col min="7" max="7" width="12.42578125" style="10" customWidth="1"/>
    <col min="8" max="8" width="12.5703125" style="10" customWidth="1"/>
    <col min="9" max="9" width="38.140625" style="10" customWidth="1"/>
    <col min="10" max="10" width="41.7109375" style="10" customWidth="1"/>
    <col min="11" max="11" width="18.28515625" style="10" customWidth="1"/>
    <col min="12" max="12" width="15.42578125" style="10" customWidth="1"/>
    <col min="13" max="16384" width="8.7109375" style="10"/>
  </cols>
  <sheetData>
    <row r="1" spans="1:12" s="5" customFormat="1" x14ac:dyDescent="0.25">
      <c r="A1" s="4"/>
      <c r="B1" s="4"/>
      <c r="C1" s="22"/>
      <c r="J1" s="67" t="s">
        <v>0</v>
      </c>
    </row>
    <row r="2" spans="1:12" s="5" customFormat="1" ht="16.5" x14ac:dyDescent="0.25">
      <c r="A2" s="44" t="s">
        <v>374</v>
      </c>
      <c r="B2" s="1"/>
      <c r="C2" s="22"/>
      <c r="D2" s="1"/>
      <c r="E2" s="1"/>
      <c r="F2" s="1"/>
      <c r="G2" s="1"/>
      <c r="H2" s="1"/>
      <c r="I2" s="1"/>
    </row>
    <row r="3" spans="1:12" s="5" customFormat="1" x14ac:dyDescent="0.25">
      <c r="A3" s="4"/>
      <c r="B3" s="4"/>
      <c r="C3" s="22"/>
      <c r="L3" s="56"/>
    </row>
    <row r="4" spans="1:12" s="5" customFormat="1" ht="65.25" customHeight="1" x14ac:dyDescent="0.25">
      <c r="A4" s="25" t="s">
        <v>23</v>
      </c>
      <c r="B4" s="25" t="s">
        <v>1</v>
      </c>
      <c r="C4" s="25" t="s">
        <v>100</v>
      </c>
      <c r="D4" s="25" t="s">
        <v>3</v>
      </c>
      <c r="E4" s="25" t="s">
        <v>229</v>
      </c>
      <c r="F4" s="25" t="s">
        <v>35</v>
      </c>
      <c r="G4" s="25" t="s">
        <v>32</v>
      </c>
      <c r="H4" s="25" t="s">
        <v>4</v>
      </c>
      <c r="I4" s="25" t="s">
        <v>376</v>
      </c>
      <c r="J4" s="46" t="s">
        <v>384</v>
      </c>
      <c r="L4" s="55"/>
    </row>
    <row r="5" spans="1:12" s="5" customFormat="1" ht="81.75" customHeight="1" x14ac:dyDescent="0.25">
      <c r="A5" s="6">
        <v>1</v>
      </c>
      <c r="B5" s="2" t="s">
        <v>271</v>
      </c>
      <c r="C5" s="9" t="s">
        <v>99</v>
      </c>
      <c r="D5" s="3" t="s">
        <v>122</v>
      </c>
      <c r="E5" s="8" t="s">
        <v>230</v>
      </c>
      <c r="F5" s="3" t="s">
        <v>45</v>
      </c>
      <c r="G5" s="3" t="s">
        <v>252</v>
      </c>
      <c r="H5" s="2" t="s">
        <v>268</v>
      </c>
      <c r="I5" s="2" t="s">
        <v>102</v>
      </c>
      <c r="J5" s="2" t="s">
        <v>377</v>
      </c>
    </row>
    <row r="6" spans="1:12" s="5" customFormat="1" ht="99" customHeight="1" x14ac:dyDescent="0.25">
      <c r="A6" s="27">
        <v>2</v>
      </c>
      <c r="B6" s="2" t="s">
        <v>272</v>
      </c>
      <c r="C6" s="9" t="s">
        <v>99</v>
      </c>
      <c r="D6" s="3" t="s">
        <v>258</v>
      </c>
      <c r="E6" s="8" t="s">
        <v>230</v>
      </c>
      <c r="F6" s="8" t="s">
        <v>7</v>
      </c>
      <c r="G6" s="2" t="s">
        <v>259</v>
      </c>
      <c r="H6" s="2" t="s">
        <v>268</v>
      </c>
      <c r="I6" s="2" t="s">
        <v>378</v>
      </c>
      <c r="J6" s="9" t="s">
        <v>385</v>
      </c>
    </row>
    <row r="7" spans="1:12" s="5" customFormat="1" ht="144.75" customHeight="1" x14ac:dyDescent="0.25">
      <c r="A7" s="27" t="s">
        <v>200</v>
      </c>
      <c r="B7" s="2" t="s">
        <v>272</v>
      </c>
      <c r="C7" s="9" t="s">
        <v>99</v>
      </c>
      <c r="D7" s="3" t="s">
        <v>261</v>
      </c>
      <c r="E7" s="3" t="s">
        <v>231</v>
      </c>
      <c r="F7" s="3" t="s">
        <v>45</v>
      </c>
      <c r="G7" s="2" t="s">
        <v>259</v>
      </c>
      <c r="H7" s="2" t="s">
        <v>268</v>
      </c>
      <c r="I7" s="2" t="s">
        <v>171</v>
      </c>
      <c r="J7" s="9" t="s">
        <v>379</v>
      </c>
    </row>
    <row r="8" spans="1:12" s="5" customFormat="1" ht="148.5" customHeight="1" x14ac:dyDescent="0.25">
      <c r="A8" s="27" t="s">
        <v>201</v>
      </c>
      <c r="B8" s="2" t="s">
        <v>272</v>
      </c>
      <c r="C8" s="9" t="s">
        <v>99</v>
      </c>
      <c r="D8" s="3" t="s">
        <v>262</v>
      </c>
      <c r="E8" s="3" t="s">
        <v>231</v>
      </c>
      <c r="F8" s="3" t="s">
        <v>45</v>
      </c>
      <c r="G8" s="2" t="s">
        <v>259</v>
      </c>
      <c r="H8" s="2" t="s">
        <v>268</v>
      </c>
      <c r="I8" s="2" t="s">
        <v>171</v>
      </c>
      <c r="J8" s="9" t="s">
        <v>379</v>
      </c>
    </row>
    <row r="9" spans="1:12" s="5" customFormat="1" ht="156.75" customHeight="1" x14ac:dyDescent="0.25">
      <c r="A9" s="27" t="s">
        <v>380</v>
      </c>
      <c r="B9" s="2" t="s">
        <v>272</v>
      </c>
      <c r="C9" s="9" t="s">
        <v>99</v>
      </c>
      <c r="D9" s="3" t="s">
        <v>263</v>
      </c>
      <c r="E9" s="3" t="s">
        <v>231</v>
      </c>
      <c r="F9" s="3" t="s">
        <v>45</v>
      </c>
      <c r="G9" s="2" t="s">
        <v>259</v>
      </c>
      <c r="H9" s="2" t="s">
        <v>268</v>
      </c>
      <c r="I9" s="2" t="s">
        <v>171</v>
      </c>
      <c r="J9" s="9" t="s">
        <v>379</v>
      </c>
    </row>
    <row r="10" spans="1:12" s="5" customFormat="1" ht="123" customHeight="1" x14ac:dyDescent="0.25">
      <c r="A10" s="27">
        <v>4</v>
      </c>
      <c r="B10" s="2" t="s">
        <v>271</v>
      </c>
      <c r="C10" s="9" t="s">
        <v>99</v>
      </c>
      <c r="D10" s="3" t="s">
        <v>219</v>
      </c>
      <c r="E10" s="3" t="s">
        <v>231</v>
      </c>
      <c r="F10" s="3" t="s">
        <v>45</v>
      </c>
      <c r="G10" s="2" t="s">
        <v>113</v>
      </c>
      <c r="H10" s="2" t="s">
        <v>266</v>
      </c>
      <c r="I10" s="2" t="s">
        <v>382</v>
      </c>
      <c r="J10" s="9" t="s">
        <v>383</v>
      </c>
    </row>
    <row r="11" spans="1:12" s="5" customFormat="1" ht="94.5" customHeight="1" x14ac:dyDescent="0.25">
      <c r="A11" s="27">
        <v>5</v>
      </c>
      <c r="B11" s="16" t="s">
        <v>46</v>
      </c>
      <c r="C11" s="9" t="s">
        <v>99</v>
      </c>
      <c r="D11" s="3" t="s">
        <v>264</v>
      </c>
      <c r="E11" s="3" t="s">
        <v>231</v>
      </c>
      <c r="F11" s="3" t="s">
        <v>7</v>
      </c>
      <c r="G11" s="3" t="s">
        <v>46</v>
      </c>
      <c r="H11" s="2" t="s">
        <v>6</v>
      </c>
      <c r="I11" s="2"/>
      <c r="J11" s="9" t="s">
        <v>386</v>
      </c>
    </row>
    <row r="12" spans="1:12" s="5" customFormat="1" ht="10.5" customHeight="1" x14ac:dyDescent="0.25">
      <c r="A12" s="30"/>
      <c r="B12" s="31"/>
      <c r="C12" s="34"/>
      <c r="D12" s="31"/>
      <c r="E12" s="31"/>
      <c r="F12" s="31"/>
      <c r="G12" s="31"/>
      <c r="H12" s="31"/>
      <c r="I12" s="31"/>
    </row>
  </sheetData>
  <printOptions gridLines="1"/>
  <pageMargins left="0.3" right="0.2" top="0.59" bottom="0.2" header="0.2" footer="0.23"/>
  <pageSetup paperSize="9" scale="29" fitToHeight="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948AE-25D3-43F0-886B-77CC6D113E08}">
  <dimension ref="A2:L15"/>
  <sheetViews>
    <sheetView zoomScale="80" zoomScaleNormal="80" workbookViewId="0">
      <selection activeCell="J4" sqref="J4"/>
    </sheetView>
  </sheetViews>
  <sheetFormatPr defaultRowHeight="12.75" x14ac:dyDescent="0.25"/>
  <cols>
    <col min="1" max="1" width="4.7109375" style="42" customWidth="1"/>
    <col min="2" max="2" width="32.28515625" style="42" customWidth="1"/>
    <col min="3" max="3" width="11" style="42" customWidth="1"/>
    <col min="4" max="4" width="10.7109375" style="42" customWidth="1"/>
    <col min="5" max="5" width="14.28515625" style="42" customWidth="1"/>
    <col min="6" max="6" width="17.42578125" style="42" customWidth="1"/>
    <col min="7" max="7" width="12.85546875" style="42" customWidth="1"/>
    <col min="8" max="8" width="21" style="42" customWidth="1"/>
    <col min="9" max="10" width="23.42578125" style="42" customWidth="1"/>
    <col min="11" max="11" width="58.28515625" style="42" customWidth="1"/>
    <col min="12" max="12" width="11.7109375" style="42" customWidth="1"/>
    <col min="13" max="16384" width="9.140625" style="42"/>
  </cols>
  <sheetData>
    <row r="2" spans="1:12" ht="38.25" x14ac:dyDescent="0.25">
      <c r="A2" s="52" t="s">
        <v>23</v>
      </c>
      <c r="B2" s="52" t="s">
        <v>176</v>
      </c>
      <c r="C2" s="140" t="s">
        <v>184</v>
      </c>
      <c r="D2" s="140"/>
      <c r="E2" s="140"/>
      <c r="F2" s="140" t="s">
        <v>177</v>
      </c>
      <c r="G2" s="140"/>
      <c r="H2" s="52" t="s">
        <v>179</v>
      </c>
      <c r="I2" s="52" t="s">
        <v>180</v>
      </c>
      <c r="J2" s="52" t="s">
        <v>206</v>
      </c>
      <c r="K2" s="141" t="s">
        <v>182</v>
      </c>
      <c r="L2" s="141" t="s">
        <v>183</v>
      </c>
    </row>
    <row r="3" spans="1:12" ht="25.5" x14ac:dyDescent="0.25">
      <c r="A3" s="52"/>
      <c r="B3" s="52"/>
      <c r="C3" s="52" t="s">
        <v>185</v>
      </c>
      <c r="D3" s="52" t="s">
        <v>60</v>
      </c>
      <c r="E3" s="52" t="s">
        <v>186</v>
      </c>
      <c r="F3" s="52" t="s">
        <v>181</v>
      </c>
      <c r="G3" s="52" t="s">
        <v>178</v>
      </c>
      <c r="H3" s="52"/>
      <c r="I3" s="52"/>
      <c r="J3" s="52"/>
      <c r="K3" s="142"/>
      <c r="L3" s="142"/>
    </row>
    <row r="4" spans="1:12" ht="86.25" customHeight="1" x14ac:dyDescent="0.25">
      <c r="A4" s="2" t="s">
        <v>187</v>
      </c>
      <c r="B4" s="2" t="s">
        <v>189</v>
      </c>
      <c r="C4" s="2" t="s">
        <v>7</v>
      </c>
      <c r="D4" s="2" t="s">
        <v>9</v>
      </c>
      <c r="E4" s="2" t="s">
        <v>9</v>
      </c>
      <c r="F4" s="2" t="s">
        <v>185</v>
      </c>
      <c r="G4" s="2" t="s">
        <v>190</v>
      </c>
      <c r="H4" s="2" t="s">
        <v>185</v>
      </c>
      <c r="I4" s="2" t="s">
        <v>197</v>
      </c>
      <c r="J4" s="2"/>
      <c r="K4" s="2" t="s">
        <v>282</v>
      </c>
      <c r="L4" s="2" t="s">
        <v>388</v>
      </c>
    </row>
    <row r="5" spans="1:12" ht="45" customHeight="1" x14ac:dyDescent="0.25">
      <c r="A5" s="2" t="s">
        <v>188</v>
      </c>
      <c r="B5" s="2" t="s">
        <v>189</v>
      </c>
      <c r="C5" s="2" t="s">
        <v>9</v>
      </c>
      <c r="D5" s="2" t="s">
        <v>7</v>
      </c>
      <c r="E5" s="2" t="s">
        <v>9</v>
      </c>
      <c r="F5" s="2" t="s">
        <v>60</v>
      </c>
      <c r="G5" s="2" t="s">
        <v>190</v>
      </c>
      <c r="H5" s="2" t="s">
        <v>60</v>
      </c>
      <c r="I5" s="2" t="s">
        <v>197</v>
      </c>
      <c r="J5" s="2"/>
      <c r="K5" s="2"/>
      <c r="L5" s="2"/>
    </row>
    <row r="6" spans="1:12" ht="201" customHeight="1" x14ac:dyDescent="0.25">
      <c r="A6" s="2" t="s">
        <v>191</v>
      </c>
      <c r="B6" s="2" t="s">
        <v>194</v>
      </c>
      <c r="C6" s="2" t="s">
        <v>7</v>
      </c>
      <c r="D6" s="2"/>
      <c r="E6" s="2" t="s">
        <v>9</v>
      </c>
      <c r="F6" s="2" t="s">
        <v>198</v>
      </c>
      <c r="G6" s="2" t="s">
        <v>198</v>
      </c>
      <c r="H6" s="2" t="s">
        <v>185</v>
      </c>
      <c r="I6" s="2" t="s">
        <v>190</v>
      </c>
      <c r="J6" s="2" t="s">
        <v>195</v>
      </c>
      <c r="K6" s="2" t="s">
        <v>390</v>
      </c>
      <c r="L6" s="2" t="s">
        <v>389</v>
      </c>
    </row>
    <row r="7" spans="1:12" ht="70.5" customHeight="1" x14ac:dyDescent="0.25">
      <c r="A7" s="2" t="s">
        <v>192</v>
      </c>
      <c r="B7" s="2" t="s">
        <v>196</v>
      </c>
      <c r="D7" s="2" t="s">
        <v>7</v>
      </c>
      <c r="E7" s="2" t="s">
        <v>9</v>
      </c>
      <c r="F7" s="2" t="s">
        <v>198</v>
      </c>
      <c r="G7" s="2" t="s">
        <v>198</v>
      </c>
      <c r="H7" s="2" t="s">
        <v>60</v>
      </c>
      <c r="I7" s="2" t="s">
        <v>190</v>
      </c>
      <c r="J7" s="2" t="s">
        <v>197</v>
      </c>
      <c r="K7" s="2"/>
      <c r="L7" s="2"/>
    </row>
    <row r="8" spans="1:12" ht="45.75" customHeight="1" x14ac:dyDescent="0.25">
      <c r="A8" s="2" t="s">
        <v>200</v>
      </c>
      <c r="B8" s="2" t="s">
        <v>199</v>
      </c>
      <c r="C8" s="2" t="s">
        <v>7</v>
      </c>
      <c r="D8" s="2"/>
      <c r="E8" s="2"/>
      <c r="F8" s="2" t="s">
        <v>190</v>
      </c>
      <c r="G8" s="2" t="s">
        <v>190</v>
      </c>
      <c r="H8" s="2" t="s">
        <v>185</v>
      </c>
      <c r="I8" s="2" t="s">
        <v>202</v>
      </c>
      <c r="J8" s="2" t="s">
        <v>190</v>
      </c>
      <c r="K8" s="2"/>
      <c r="L8" s="2"/>
    </row>
    <row r="9" spans="1:12" ht="76.5" x14ac:dyDescent="0.25">
      <c r="A9" s="2" t="s">
        <v>201</v>
      </c>
      <c r="B9" s="2" t="s">
        <v>203</v>
      </c>
      <c r="C9" s="2" t="s">
        <v>7</v>
      </c>
      <c r="D9" s="2"/>
      <c r="E9" s="2"/>
      <c r="F9" s="2" t="s">
        <v>185</v>
      </c>
      <c r="G9" s="2" t="s">
        <v>185</v>
      </c>
      <c r="H9" s="2" t="s">
        <v>185</v>
      </c>
      <c r="I9" s="2" t="s">
        <v>202</v>
      </c>
      <c r="J9" s="2" t="s">
        <v>190</v>
      </c>
      <c r="K9" s="2"/>
      <c r="L9" s="2"/>
    </row>
    <row r="10" spans="1:12" ht="114.75" x14ac:dyDescent="0.25">
      <c r="A10" s="2">
        <v>4</v>
      </c>
      <c r="B10" s="2" t="s">
        <v>204</v>
      </c>
      <c r="C10" s="2" t="s">
        <v>7</v>
      </c>
      <c r="D10" s="2"/>
      <c r="E10" s="2"/>
      <c r="F10" s="2" t="s">
        <v>198</v>
      </c>
      <c r="G10" s="2" t="s">
        <v>198</v>
      </c>
      <c r="H10" s="2" t="s">
        <v>185</v>
      </c>
      <c r="I10" s="2" t="s">
        <v>190</v>
      </c>
      <c r="J10" s="2" t="s">
        <v>205</v>
      </c>
      <c r="K10" s="2" t="s">
        <v>391</v>
      </c>
      <c r="L10" s="2"/>
    </row>
    <row r="11" spans="1:12" ht="44.25" customHeight="1" x14ac:dyDescent="0.25">
      <c r="A11" s="2">
        <v>5</v>
      </c>
      <c r="B11" s="2" t="s">
        <v>207</v>
      </c>
      <c r="C11" s="2" t="s">
        <v>7</v>
      </c>
      <c r="D11" s="2"/>
      <c r="E11" s="2"/>
      <c r="F11" s="2" t="s">
        <v>198</v>
      </c>
      <c r="G11" s="2" t="s">
        <v>198</v>
      </c>
      <c r="H11" s="2" t="s">
        <v>185</v>
      </c>
      <c r="I11" s="2" t="s">
        <v>190</v>
      </c>
      <c r="J11" s="2" t="s">
        <v>208</v>
      </c>
      <c r="K11" s="2" t="s">
        <v>392</v>
      </c>
      <c r="L11" s="2"/>
    </row>
    <row r="12" spans="1:12" ht="38.25" x14ac:dyDescent="0.25">
      <c r="A12" s="2">
        <v>6</v>
      </c>
      <c r="B12" s="2" t="s">
        <v>209</v>
      </c>
      <c r="C12" s="2" t="s">
        <v>7</v>
      </c>
      <c r="D12" s="2"/>
      <c r="E12" s="2"/>
      <c r="F12" s="2" t="s">
        <v>198</v>
      </c>
      <c r="G12" s="2" t="s">
        <v>198</v>
      </c>
      <c r="H12" s="2" t="s">
        <v>185</v>
      </c>
      <c r="I12" s="2" t="s">
        <v>190</v>
      </c>
      <c r="J12" s="2" t="s">
        <v>185</v>
      </c>
      <c r="K12" s="2"/>
      <c r="L12" s="2"/>
    </row>
    <row r="13" spans="1:12" ht="51" x14ac:dyDescent="0.25">
      <c r="A13" s="2">
        <v>7</v>
      </c>
      <c r="B13" s="2" t="s">
        <v>210</v>
      </c>
      <c r="C13" s="2" t="s">
        <v>7</v>
      </c>
      <c r="D13" s="2"/>
      <c r="E13" s="2"/>
      <c r="F13" s="2" t="s">
        <v>190</v>
      </c>
      <c r="G13" s="2" t="s">
        <v>190</v>
      </c>
      <c r="H13" s="2" t="s">
        <v>190</v>
      </c>
      <c r="I13" s="2"/>
      <c r="J13" s="2" t="s">
        <v>211</v>
      </c>
      <c r="K13" s="2"/>
      <c r="L13" s="2"/>
    </row>
    <row r="14" spans="1:12" ht="38.25" x14ac:dyDescent="0.25">
      <c r="A14" s="2">
        <v>8</v>
      </c>
      <c r="B14" s="2" t="s">
        <v>212</v>
      </c>
      <c r="C14" s="2" t="s">
        <v>7</v>
      </c>
      <c r="D14" s="2"/>
      <c r="E14" s="2"/>
      <c r="F14" s="2"/>
      <c r="G14" s="2"/>
      <c r="H14" s="2"/>
      <c r="I14" s="2"/>
      <c r="J14" s="2"/>
      <c r="K14" s="2"/>
      <c r="L14" s="2"/>
    </row>
    <row r="15" spans="1:12" ht="51" x14ac:dyDescent="0.25">
      <c r="A15" s="2">
        <v>9</v>
      </c>
      <c r="B15" s="2" t="s">
        <v>213</v>
      </c>
      <c r="C15" s="2" t="s">
        <v>7</v>
      </c>
      <c r="D15" s="2"/>
      <c r="E15" s="2"/>
      <c r="F15" s="2" t="s">
        <v>198</v>
      </c>
      <c r="G15" s="2" t="s">
        <v>198</v>
      </c>
      <c r="H15" s="2" t="s">
        <v>185</v>
      </c>
      <c r="I15" s="2"/>
      <c r="J15" s="2" t="s">
        <v>211</v>
      </c>
      <c r="K15" s="2"/>
      <c r="L15" s="2"/>
    </row>
  </sheetData>
  <mergeCells count="4">
    <mergeCell ref="F2:G2"/>
    <mergeCell ref="C2:E2"/>
    <mergeCell ref="K2:K3"/>
    <mergeCell ref="L2:L3"/>
  </mergeCells>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6D5CB-B5EC-47BF-9B14-DBAC58BAF58D}">
  <dimension ref="B1:G23"/>
  <sheetViews>
    <sheetView zoomScale="130" zoomScaleNormal="130" workbookViewId="0">
      <selection activeCell="E5" sqref="E5"/>
    </sheetView>
  </sheetViews>
  <sheetFormatPr defaultRowHeight="15" x14ac:dyDescent="0.25"/>
  <cols>
    <col min="2" max="2" width="12" style="12" bestFit="1" customWidth="1"/>
    <col min="3" max="3" width="10.85546875" style="26" customWidth="1"/>
    <col min="4" max="4" width="31.5703125" customWidth="1"/>
    <col min="5" max="5" width="32.42578125" customWidth="1"/>
    <col min="6" max="6" width="27.140625" customWidth="1"/>
    <col min="7" max="7" width="18.28515625" customWidth="1"/>
  </cols>
  <sheetData>
    <row r="1" spans="2:7" ht="19.5" customHeight="1" x14ac:dyDescent="0.25">
      <c r="B1" s="143"/>
      <c r="C1" s="143"/>
      <c r="D1" s="143"/>
      <c r="E1" s="143"/>
      <c r="F1" s="143"/>
    </row>
    <row r="2" spans="2:7" ht="25.5" x14ac:dyDescent="0.25">
      <c r="B2" s="2" t="s">
        <v>50</v>
      </c>
      <c r="C2" s="2" t="s">
        <v>58</v>
      </c>
      <c r="D2" s="2" t="s">
        <v>51</v>
      </c>
      <c r="E2" s="2" t="s">
        <v>52</v>
      </c>
      <c r="F2" s="2" t="s">
        <v>53</v>
      </c>
      <c r="G2" s="53" t="s">
        <v>193</v>
      </c>
    </row>
    <row r="3" spans="2:7" x14ac:dyDescent="0.25">
      <c r="B3" s="2" t="s">
        <v>55</v>
      </c>
      <c r="C3" s="2" t="s">
        <v>59</v>
      </c>
      <c r="D3" s="2" t="s">
        <v>97</v>
      </c>
      <c r="E3" s="2"/>
      <c r="F3" s="2" t="s">
        <v>9</v>
      </c>
      <c r="G3" s="53" t="s">
        <v>45</v>
      </c>
    </row>
    <row r="4" spans="2:7" ht="26.25" customHeight="1" x14ac:dyDescent="0.25">
      <c r="B4" s="2" t="s">
        <v>54</v>
      </c>
      <c r="C4" s="2" t="s">
        <v>60</v>
      </c>
      <c r="D4" s="2"/>
      <c r="E4" s="2" t="s">
        <v>56</v>
      </c>
      <c r="F4" s="2" t="s">
        <v>9</v>
      </c>
      <c r="G4" s="53" t="s">
        <v>7</v>
      </c>
    </row>
    <row r="5" spans="2:7" ht="25.5" x14ac:dyDescent="0.25">
      <c r="B5" s="2" t="s">
        <v>79</v>
      </c>
      <c r="C5" s="2" t="s">
        <v>8</v>
      </c>
      <c r="D5" s="2" t="s">
        <v>97</v>
      </c>
      <c r="E5" s="2" t="s">
        <v>56</v>
      </c>
      <c r="F5" s="2"/>
      <c r="G5" s="53" t="s">
        <v>45</v>
      </c>
    </row>
    <row r="6" spans="2:7" ht="32.25" customHeight="1" x14ac:dyDescent="0.25">
      <c r="B6" s="2" t="s">
        <v>61</v>
      </c>
      <c r="C6" s="2" t="s">
        <v>59</v>
      </c>
      <c r="D6" s="2" t="s">
        <v>57</v>
      </c>
      <c r="E6" s="2"/>
      <c r="F6" s="2" t="s">
        <v>9</v>
      </c>
      <c r="G6" s="53" t="s">
        <v>45</v>
      </c>
    </row>
    <row r="7" spans="2:7" ht="28.5" customHeight="1" x14ac:dyDescent="0.25">
      <c r="B7" s="2" t="s">
        <v>62</v>
      </c>
      <c r="C7" s="2" t="s">
        <v>60</v>
      </c>
      <c r="D7" s="2"/>
      <c r="E7" s="2" t="s">
        <v>96</v>
      </c>
      <c r="F7" s="2" t="s">
        <v>9</v>
      </c>
      <c r="G7" s="53" t="s">
        <v>45</v>
      </c>
    </row>
    <row r="8" spans="2:7" x14ac:dyDescent="0.25">
      <c r="B8" s="2" t="s">
        <v>63</v>
      </c>
      <c r="C8" s="2" t="s">
        <v>59</v>
      </c>
      <c r="D8" s="2" t="s">
        <v>80</v>
      </c>
      <c r="E8" s="54"/>
      <c r="F8" s="2" t="s">
        <v>9</v>
      </c>
      <c r="G8" s="53" t="s">
        <v>45</v>
      </c>
    </row>
    <row r="9" spans="2:7" x14ac:dyDescent="0.25">
      <c r="B9" s="2" t="s">
        <v>64</v>
      </c>
      <c r="C9" s="2" t="s">
        <v>60</v>
      </c>
      <c r="D9" s="2"/>
      <c r="E9" s="2" t="s">
        <v>81</v>
      </c>
      <c r="F9" s="2" t="s">
        <v>9</v>
      </c>
      <c r="G9" s="53" t="s">
        <v>45</v>
      </c>
    </row>
    <row r="10" spans="2:7" x14ac:dyDescent="0.25">
      <c r="B10" s="2" t="s">
        <v>65</v>
      </c>
      <c r="C10" s="2" t="s">
        <v>59</v>
      </c>
      <c r="D10" s="2" t="s">
        <v>82</v>
      </c>
      <c r="E10" s="2"/>
      <c r="F10" s="2" t="s">
        <v>9</v>
      </c>
      <c r="G10" s="53" t="s">
        <v>45</v>
      </c>
    </row>
    <row r="11" spans="2:7" x14ac:dyDescent="0.25">
      <c r="B11" s="2" t="s">
        <v>66</v>
      </c>
      <c r="C11" s="2" t="s">
        <v>60</v>
      </c>
      <c r="D11" s="2"/>
      <c r="E11" s="2" t="s">
        <v>83</v>
      </c>
      <c r="F11" s="2" t="s">
        <v>9</v>
      </c>
      <c r="G11" s="53" t="s">
        <v>45</v>
      </c>
    </row>
    <row r="12" spans="2:7" x14ac:dyDescent="0.25">
      <c r="B12" s="2" t="s">
        <v>67</v>
      </c>
      <c r="C12" s="2" t="s">
        <v>59</v>
      </c>
      <c r="D12" s="2" t="s">
        <v>84</v>
      </c>
      <c r="E12" s="2"/>
      <c r="F12" s="2" t="s">
        <v>9</v>
      </c>
      <c r="G12" s="53" t="s">
        <v>45</v>
      </c>
    </row>
    <row r="13" spans="2:7" x14ac:dyDescent="0.25">
      <c r="B13" s="2" t="s">
        <v>68</v>
      </c>
      <c r="C13" s="2" t="s">
        <v>60</v>
      </c>
      <c r="D13" s="2"/>
      <c r="E13" s="2" t="s">
        <v>85</v>
      </c>
      <c r="F13" s="2" t="s">
        <v>9</v>
      </c>
      <c r="G13" s="53" t="s">
        <v>45</v>
      </c>
    </row>
    <row r="14" spans="2:7" ht="38.25" customHeight="1" x14ac:dyDescent="0.25">
      <c r="B14" s="2" t="s">
        <v>69</v>
      </c>
      <c r="C14" s="2" t="s">
        <v>59</v>
      </c>
      <c r="D14" s="2" t="s">
        <v>86</v>
      </c>
      <c r="E14" s="2"/>
      <c r="F14" s="2" t="s">
        <v>9</v>
      </c>
      <c r="G14" s="53" t="s">
        <v>45</v>
      </c>
    </row>
    <row r="15" spans="2:7" ht="28.5" customHeight="1" x14ac:dyDescent="0.25">
      <c r="B15" s="2" t="s">
        <v>70</v>
      </c>
      <c r="C15" s="2" t="s">
        <v>60</v>
      </c>
      <c r="D15" s="2"/>
      <c r="E15" s="2" t="s">
        <v>87</v>
      </c>
      <c r="F15" s="2" t="s">
        <v>9</v>
      </c>
      <c r="G15" s="53" t="s">
        <v>45</v>
      </c>
    </row>
    <row r="16" spans="2:7" ht="29.25" customHeight="1" x14ac:dyDescent="0.25">
      <c r="B16" s="2" t="s">
        <v>71</v>
      </c>
      <c r="C16" s="2" t="s">
        <v>59</v>
      </c>
      <c r="D16" s="2" t="s">
        <v>88</v>
      </c>
      <c r="E16" s="2"/>
      <c r="F16" s="2" t="s">
        <v>9</v>
      </c>
      <c r="G16" s="53" t="s">
        <v>45</v>
      </c>
    </row>
    <row r="17" spans="2:7" ht="26.25" customHeight="1" x14ac:dyDescent="0.25">
      <c r="B17" s="2" t="s">
        <v>72</v>
      </c>
      <c r="C17" s="2" t="s">
        <v>60</v>
      </c>
      <c r="D17" s="2"/>
      <c r="E17" s="2" t="s">
        <v>89</v>
      </c>
      <c r="F17" s="2" t="s">
        <v>9</v>
      </c>
      <c r="G17" s="53" t="s">
        <v>45</v>
      </c>
    </row>
    <row r="18" spans="2:7" x14ac:dyDescent="0.25">
      <c r="B18" s="2" t="s">
        <v>73</v>
      </c>
      <c r="C18" s="2" t="s">
        <v>59</v>
      </c>
      <c r="D18" s="2" t="s">
        <v>90</v>
      </c>
      <c r="E18" s="2"/>
      <c r="F18" s="2" t="s">
        <v>9</v>
      </c>
      <c r="G18" s="53" t="s">
        <v>45</v>
      </c>
    </row>
    <row r="19" spans="2:7" ht="28.5" customHeight="1" x14ac:dyDescent="0.25">
      <c r="B19" s="2" t="s">
        <v>74</v>
      </c>
      <c r="C19" s="2" t="s">
        <v>60</v>
      </c>
      <c r="D19" s="2"/>
      <c r="E19" s="2" t="s">
        <v>91</v>
      </c>
      <c r="F19" s="2" t="s">
        <v>9</v>
      </c>
      <c r="G19" s="53" t="s">
        <v>45</v>
      </c>
    </row>
    <row r="20" spans="2:7" x14ac:dyDescent="0.25">
      <c r="B20" s="2" t="s">
        <v>75</v>
      </c>
      <c r="C20" s="2" t="s">
        <v>59</v>
      </c>
      <c r="D20" s="2" t="s">
        <v>92</v>
      </c>
      <c r="E20" s="2"/>
      <c r="F20" s="2" t="s">
        <v>9</v>
      </c>
      <c r="G20" s="53" t="s">
        <v>45</v>
      </c>
    </row>
    <row r="21" spans="2:7" ht="28.5" customHeight="1" x14ac:dyDescent="0.25">
      <c r="B21" s="2" t="s">
        <v>76</v>
      </c>
      <c r="C21" s="2" t="s">
        <v>60</v>
      </c>
      <c r="D21" s="2"/>
      <c r="E21" s="2" t="s">
        <v>93</v>
      </c>
      <c r="F21" s="2" t="s">
        <v>9</v>
      </c>
      <c r="G21" s="53" t="s">
        <v>45</v>
      </c>
    </row>
    <row r="22" spans="2:7" x14ac:dyDescent="0.25">
      <c r="B22" s="2" t="s">
        <v>77</v>
      </c>
      <c r="C22" s="2" t="s">
        <v>59</v>
      </c>
      <c r="D22" s="2" t="s">
        <v>94</v>
      </c>
      <c r="E22" s="2"/>
      <c r="F22" s="2" t="s">
        <v>9</v>
      </c>
      <c r="G22" s="53" t="s">
        <v>45</v>
      </c>
    </row>
    <row r="23" spans="2:7" ht="24" customHeight="1" x14ac:dyDescent="0.25">
      <c r="B23" s="2" t="s">
        <v>78</v>
      </c>
      <c r="C23" s="2" t="s">
        <v>60</v>
      </c>
      <c r="D23" s="2"/>
      <c r="E23" s="2" t="s">
        <v>95</v>
      </c>
      <c r="F23" s="2" t="s">
        <v>9</v>
      </c>
      <c r="G23" s="53" t="s">
        <v>45</v>
      </c>
    </row>
  </sheetData>
  <mergeCells count="1">
    <mergeCell ref="B1:F1"/>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vt:i4>
      </vt:variant>
    </vt:vector>
  </HeadingPairs>
  <TitlesOfParts>
    <vt:vector size="14" baseType="lpstr">
      <vt:lpstr>Fraud Definition</vt:lpstr>
      <vt:lpstr>Index</vt:lpstr>
      <vt:lpstr>Process wise split</vt:lpstr>
      <vt:lpstr>Fraud Risks Universe</vt:lpstr>
      <vt:lpstr>Tech</vt:lpstr>
      <vt:lpstr>1. NP Due Diligence</vt:lpstr>
      <vt:lpstr>2. Periodic Audit Checklist</vt:lpstr>
      <vt:lpstr>3. Data Analytics Routine</vt:lpstr>
      <vt:lpstr>A. Information Matrix</vt:lpstr>
      <vt:lpstr>B. Additional obligations</vt:lpstr>
      <vt:lpstr>Logistics and Returns</vt:lpstr>
      <vt:lpstr>API_points</vt:lpstr>
      <vt:lpstr>'B. Additional obligations'!Print_Area</vt:lpstr>
      <vt:lpstr>'Fraud Risks Universe'!Print_Area</vt:lpstr>
    </vt:vector>
  </TitlesOfParts>
  <Company>PricewaterhouseCoopers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Ankita Lalchandani</dc:creator>
  <cp:lastModifiedBy>Tushar Bose</cp:lastModifiedBy>
  <cp:lastPrinted>2022-11-17T13:52:22Z</cp:lastPrinted>
  <dcterms:created xsi:type="dcterms:W3CDTF">2022-11-08T08:45:26Z</dcterms:created>
  <dcterms:modified xsi:type="dcterms:W3CDTF">2022-12-26T05:06:36Z</dcterms:modified>
</cp:coreProperties>
</file>